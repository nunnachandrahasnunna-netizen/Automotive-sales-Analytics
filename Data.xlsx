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0BA4257-0E0F-4CA4-9C63-51703415907C}" xr6:coauthVersionLast="47" xr6:coauthVersionMax="47" xr10:uidLastSave="{00000000-0000-0000-0000-000000000000}"/>
  <bookViews>
    <workbookView xWindow="-108" yWindow="-108" windowWidth="23256" windowHeight="12576" xr2:uid="{616DCDBF-4302-4A07-8F7C-924BBB853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4" i="1" l="1"/>
  <c r="M103" i="1"/>
  <c r="N103" i="1" s="1"/>
  <c r="O103" i="1" s="1"/>
  <c r="O102" i="1"/>
  <c r="N102" i="1"/>
  <c r="M102" i="1"/>
  <c r="M101" i="1"/>
  <c r="N101" i="1" s="1"/>
  <c r="M100" i="1"/>
  <c r="M99" i="1"/>
  <c r="N99" i="1" s="1"/>
  <c r="O99" i="1" s="1"/>
  <c r="O98" i="1"/>
  <c r="N98" i="1"/>
  <c r="M98" i="1"/>
  <c r="M97" i="1"/>
  <c r="N97" i="1" s="1"/>
  <c r="M96" i="1"/>
  <c r="M95" i="1"/>
  <c r="N95" i="1" s="1"/>
  <c r="O95" i="1" s="1"/>
  <c r="O94" i="1"/>
  <c r="N94" i="1"/>
  <c r="M94" i="1"/>
  <c r="M93" i="1"/>
  <c r="N93" i="1" s="1"/>
  <c r="M92" i="1"/>
  <c r="M91" i="1"/>
  <c r="N91" i="1" s="1"/>
  <c r="O91" i="1" s="1"/>
  <c r="O90" i="1"/>
  <c r="N90" i="1"/>
  <c r="M90" i="1"/>
  <c r="M89" i="1"/>
  <c r="N89" i="1" s="1"/>
  <c r="M88" i="1"/>
  <c r="M87" i="1"/>
  <c r="N87" i="1" s="1"/>
  <c r="O87" i="1" s="1"/>
  <c r="O86" i="1"/>
  <c r="N86" i="1"/>
  <c r="M86" i="1"/>
  <c r="M85" i="1"/>
  <c r="N85" i="1" s="1"/>
  <c r="M84" i="1"/>
  <c r="M83" i="1"/>
  <c r="N83" i="1" s="1"/>
  <c r="O83" i="1" s="1"/>
  <c r="O82" i="1"/>
  <c r="N82" i="1"/>
  <c r="M82" i="1"/>
  <c r="M81" i="1"/>
  <c r="N81" i="1" s="1"/>
  <c r="M80" i="1"/>
  <c r="M79" i="1"/>
  <c r="N79" i="1" s="1"/>
  <c r="O79" i="1" s="1"/>
  <c r="O78" i="1"/>
  <c r="N78" i="1"/>
  <c r="M78" i="1"/>
  <c r="M77" i="1"/>
  <c r="N77" i="1" s="1"/>
  <c r="M76" i="1"/>
  <c r="M75" i="1"/>
  <c r="N75" i="1" s="1"/>
  <c r="O75" i="1" s="1"/>
  <c r="O74" i="1"/>
  <c r="N74" i="1"/>
  <c r="M74" i="1"/>
  <c r="M73" i="1"/>
  <c r="N73" i="1" s="1"/>
  <c r="M72" i="1"/>
  <c r="M71" i="1"/>
  <c r="N71" i="1" s="1"/>
  <c r="O71" i="1" s="1"/>
  <c r="O70" i="1"/>
  <c r="N70" i="1"/>
  <c r="M70" i="1"/>
  <c r="M69" i="1"/>
  <c r="N69" i="1" s="1"/>
  <c r="M68" i="1"/>
  <c r="M67" i="1"/>
  <c r="N67" i="1" s="1"/>
  <c r="O67" i="1" s="1"/>
  <c r="O66" i="1"/>
  <c r="N66" i="1"/>
  <c r="M66" i="1"/>
  <c r="M65" i="1"/>
  <c r="N65" i="1" s="1"/>
  <c r="M64" i="1"/>
  <c r="M63" i="1"/>
  <c r="N63" i="1" s="1"/>
  <c r="O63" i="1" s="1"/>
  <c r="O62" i="1"/>
  <c r="N62" i="1"/>
  <c r="M62" i="1"/>
  <c r="M61" i="1"/>
  <c r="N61" i="1" s="1"/>
  <c r="M60" i="1"/>
  <c r="M59" i="1"/>
  <c r="N59" i="1" s="1"/>
  <c r="O59" i="1" s="1"/>
  <c r="O58" i="1"/>
  <c r="N58" i="1"/>
  <c r="M58" i="1"/>
  <c r="M57" i="1"/>
  <c r="M56" i="1"/>
  <c r="M55" i="1"/>
  <c r="N55" i="1" s="1"/>
  <c r="O55" i="1" s="1"/>
  <c r="O54" i="1"/>
  <c r="N54" i="1"/>
  <c r="M54" i="1"/>
  <c r="M53" i="1"/>
  <c r="N53" i="1" s="1"/>
  <c r="M52" i="1"/>
  <c r="M51" i="1"/>
  <c r="N51" i="1" s="1"/>
  <c r="O51" i="1" s="1"/>
  <c r="O50" i="1"/>
  <c r="N50" i="1"/>
  <c r="M50" i="1"/>
  <c r="M49" i="1"/>
  <c r="N49" i="1" s="1"/>
  <c r="M48" i="1"/>
  <c r="M47" i="1"/>
  <c r="N47" i="1" s="1"/>
  <c r="O47" i="1" s="1"/>
  <c r="O46" i="1"/>
  <c r="N46" i="1"/>
  <c r="M46" i="1"/>
  <c r="M45" i="1"/>
  <c r="M44" i="1"/>
  <c r="M43" i="1"/>
  <c r="N43" i="1" s="1"/>
  <c r="O43" i="1" s="1"/>
  <c r="O42" i="1"/>
  <c r="N42" i="1"/>
  <c r="M42" i="1"/>
  <c r="M41" i="1"/>
  <c r="N41" i="1" s="1"/>
  <c r="M40" i="1"/>
  <c r="M39" i="1"/>
  <c r="N39" i="1" s="1"/>
  <c r="O39" i="1" s="1"/>
  <c r="O38" i="1"/>
  <c r="N38" i="1"/>
  <c r="M38" i="1"/>
  <c r="M37" i="1"/>
  <c r="M36" i="1"/>
  <c r="M35" i="1"/>
  <c r="N35" i="1" s="1"/>
  <c r="O34" i="1"/>
  <c r="N34" i="1"/>
  <c r="M34" i="1"/>
  <c r="N33" i="1"/>
  <c r="M33" i="1"/>
  <c r="O33" i="1" s="1"/>
  <c r="M32" i="1"/>
  <c r="O31" i="1"/>
  <c r="M31" i="1"/>
  <c r="N31" i="1" s="1"/>
  <c r="N30" i="1"/>
  <c r="O30" i="1" s="1"/>
  <c r="M30" i="1"/>
  <c r="M29" i="1"/>
  <c r="N29" i="1" s="1"/>
  <c r="O29" i="1" s="1"/>
  <c r="N28" i="1"/>
  <c r="M28" i="1"/>
  <c r="M27" i="1"/>
  <c r="N27" i="1" s="1"/>
  <c r="O26" i="1"/>
  <c r="N26" i="1"/>
  <c r="M26" i="1"/>
  <c r="N25" i="1"/>
  <c r="M25" i="1"/>
  <c r="O25" i="1" s="1"/>
  <c r="M24" i="1"/>
  <c r="O23" i="1"/>
  <c r="M23" i="1"/>
  <c r="N23" i="1" s="1"/>
  <c r="N22" i="1"/>
  <c r="O22" i="1" s="1"/>
  <c r="M22" i="1"/>
  <c r="M21" i="1"/>
  <c r="N21" i="1" s="1"/>
  <c r="O21" i="1" s="1"/>
  <c r="N20" i="1"/>
  <c r="M20" i="1"/>
  <c r="M19" i="1"/>
  <c r="N19" i="1" s="1"/>
  <c r="O18" i="1"/>
  <c r="N18" i="1"/>
  <c r="M18" i="1"/>
  <c r="N17" i="1"/>
  <c r="M17" i="1"/>
  <c r="O17" i="1" s="1"/>
  <c r="M16" i="1"/>
  <c r="O15" i="1"/>
  <c r="M15" i="1"/>
  <c r="N15" i="1" s="1"/>
  <c r="N14" i="1"/>
  <c r="O14" i="1" s="1"/>
  <c r="M14" i="1"/>
  <c r="M13" i="1"/>
  <c r="N12" i="1"/>
  <c r="M12" i="1"/>
  <c r="M11" i="1"/>
  <c r="N11" i="1" s="1"/>
  <c r="O10" i="1"/>
  <c r="N10" i="1"/>
  <c r="M10" i="1"/>
  <c r="N9" i="1"/>
  <c r="M9" i="1"/>
  <c r="O9" i="1" s="1"/>
  <c r="M8" i="1"/>
  <c r="O7" i="1"/>
  <c r="M7" i="1"/>
  <c r="N7" i="1" s="1"/>
  <c r="N6" i="1"/>
  <c r="O6" i="1" s="1"/>
  <c r="M6" i="1"/>
  <c r="M5" i="1"/>
  <c r="O5" i="1" l="1"/>
  <c r="O37" i="1"/>
  <c r="O45" i="1"/>
  <c r="O16" i="1"/>
  <c r="O24" i="1"/>
  <c r="N37" i="1"/>
  <c r="N45" i="1"/>
  <c r="N57" i="1"/>
  <c r="O57" i="1" s="1"/>
  <c r="O41" i="1"/>
  <c r="O49" i="1"/>
  <c r="O61" i="1"/>
  <c r="O69" i="1"/>
  <c r="O77" i="1"/>
  <c r="O81" i="1"/>
  <c r="O89" i="1"/>
  <c r="O101" i="1"/>
  <c r="N5" i="1"/>
  <c r="N8" i="1"/>
  <c r="O8" i="1" s="1"/>
  <c r="O11" i="1"/>
  <c r="N13" i="1"/>
  <c r="O13" i="1" s="1"/>
  <c r="N16" i="1"/>
  <c r="O19" i="1"/>
  <c r="N24" i="1"/>
  <c r="O27" i="1"/>
  <c r="N32" i="1"/>
  <c r="O32" i="1" s="1"/>
  <c r="O35" i="1"/>
  <c r="O53" i="1"/>
  <c r="O65" i="1"/>
  <c r="O73" i="1"/>
  <c r="O85" i="1"/>
  <c r="O93" i="1"/>
  <c r="O97" i="1"/>
  <c r="O12" i="1"/>
  <c r="O20" i="1"/>
  <c r="O28" i="1"/>
  <c r="O36" i="1"/>
  <c r="N36" i="1"/>
  <c r="N40" i="1"/>
  <c r="O40" i="1" s="1"/>
  <c r="O44" i="1"/>
  <c r="N44" i="1"/>
  <c r="N48" i="1"/>
  <c r="O48" i="1" s="1"/>
  <c r="O52" i="1"/>
  <c r="N52" i="1"/>
  <c r="N56" i="1"/>
  <c r="O56" i="1" s="1"/>
  <c r="O60" i="1"/>
  <c r="N60" i="1"/>
  <c r="N64" i="1"/>
  <c r="O64" i="1" s="1"/>
  <c r="O68" i="1"/>
  <c r="N68" i="1"/>
  <c r="N72" i="1"/>
  <c r="O72" i="1" s="1"/>
  <c r="O76" i="1"/>
  <c r="N76" i="1"/>
  <c r="N80" i="1"/>
  <c r="O80" i="1" s="1"/>
  <c r="O84" i="1"/>
  <c r="N84" i="1"/>
  <c r="N88" i="1"/>
  <c r="O88" i="1" s="1"/>
  <c r="O92" i="1"/>
  <c r="N92" i="1"/>
  <c r="N96" i="1"/>
  <c r="O96" i="1" s="1"/>
  <c r="O100" i="1"/>
  <c r="N100" i="1"/>
  <c r="N104" i="1"/>
  <c r="O104" i="1" s="1"/>
</calcChain>
</file>

<file path=xl/sharedStrings.xml><?xml version="1.0" encoding="utf-8"?>
<sst xmlns="http://schemas.openxmlformats.org/spreadsheetml/2006/main" count="616" uniqueCount="75">
  <si>
    <t>Car_ID</t>
  </si>
  <si>
    <t>Year</t>
  </si>
  <si>
    <t>Brand</t>
  </si>
  <si>
    <t>Model</t>
  </si>
  <si>
    <t>Fuel_Type</t>
  </si>
  <si>
    <t>Transmission</t>
  </si>
  <si>
    <t>Engine_CC</t>
  </si>
  <si>
    <t>Mileage_kmpl</t>
  </si>
  <si>
    <t>City</t>
  </si>
  <si>
    <t>Price_INR</t>
  </si>
  <si>
    <t>Sales_Units</t>
  </si>
  <si>
    <t>Revenue</t>
  </si>
  <si>
    <t>Cost</t>
  </si>
  <si>
    <t>Profit</t>
  </si>
  <si>
    <t>Salesman names</t>
  </si>
  <si>
    <t>Customer Rating</t>
  </si>
  <si>
    <t>Tata</t>
  </si>
  <si>
    <t>Altroz</t>
  </si>
  <si>
    <t>Diesel</t>
  </si>
  <si>
    <t>Automatic</t>
  </si>
  <si>
    <t>Bangalore</t>
  </si>
  <si>
    <t>Aryan K.</t>
  </si>
  <si>
    <t>Hyundai</t>
  </si>
  <si>
    <t>Verna</t>
  </si>
  <si>
    <t>Petrol</t>
  </si>
  <si>
    <t>Manual</t>
  </si>
  <si>
    <t>Delhi</t>
  </si>
  <si>
    <t>Vikram J.</t>
  </si>
  <si>
    <t>Mahindra</t>
  </si>
  <si>
    <t>XUV700</t>
  </si>
  <si>
    <t>CNG</t>
  </si>
  <si>
    <t>Chennai</t>
  </si>
  <si>
    <t>Vinod T.</t>
  </si>
  <si>
    <t>Harrier</t>
  </si>
  <si>
    <t>Mumbai</t>
  </si>
  <si>
    <t>Amit S.</t>
  </si>
  <si>
    <t>i20</t>
  </si>
  <si>
    <t>Electric</t>
  </si>
  <si>
    <t>Suman A.</t>
  </si>
  <si>
    <t>Neha M.</t>
  </si>
  <si>
    <t>Toyota</t>
  </si>
  <si>
    <t>Fortuner</t>
  </si>
  <si>
    <t>Hyderabad</t>
  </si>
  <si>
    <t>Rahul S.</t>
  </si>
  <si>
    <t>Pooja G.</t>
  </si>
  <si>
    <t>Maruti Suzuki</t>
  </si>
  <si>
    <t>Baleno</t>
  </si>
  <si>
    <t>Anoop M.</t>
  </si>
  <si>
    <t>Harpreet S.</t>
  </si>
  <si>
    <t>Swift</t>
  </si>
  <si>
    <t>Ishani R.</t>
  </si>
  <si>
    <t>Creta</t>
  </si>
  <si>
    <t>Suman D.</t>
  </si>
  <si>
    <t>Innova</t>
  </si>
  <si>
    <t>Deepa G.</t>
  </si>
  <si>
    <t>Venue</t>
  </si>
  <si>
    <t>Rahul T.</t>
  </si>
  <si>
    <t>Amit B.</t>
  </si>
  <si>
    <t>Priya R.</t>
  </si>
  <si>
    <t>Manoj V.</t>
  </si>
  <si>
    <t>Scorpio</t>
  </si>
  <si>
    <t>Suresh K.</t>
  </si>
  <si>
    <t>Sneha P.</t>
  </si>
  <si>
    <t>Rajesh V.</t>
  </si>
  <si>
    <t>Nexon</t>
  </si>
  <si>
    <t>Vikram P.</t>
  </si>
  <si>
    <t>Manish A.</t>
  </si>
  <si>
    <t>Harpreet K.</t>
  </si>
  <si>
    <t>XUV300</t>
  </si>
  <si>
    <t>Anjali P.</t>
  </si>
  <si>
    <t>Punch</t>
  </si>
  <si>
    <t>Urban Cruiser</t>
  </si>
  <si>
    <t>Dzire</t>
  </si>
  <si>
    <t>Brezza</t>
  </si>
  <si>
    <t>Bolero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</si>
</sst>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left" vertical="center" wrapText="1" indent="1" readingOrder="1"/>
    </xf>
    <xf numFmtId="164" fontId="1" fillId="0" borderId="0" xfId="0" applyNumberFormat="1" applyFont="1" applyAlignment="1">
      <alignment vertical="center" wrapText="1" readingOrder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164" formatCode="0.0"/>
      <alignment horizontal="general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left" vertical="center" textRotation="0" wrapText="1" indent="1" justifyLastLine="0" shrinkToFit="0" readingOrder="1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F0109-E514-42D3-BBAC-FD3472E4936A}" name="Table13" displayName="Table13" ref="B4:Q104" totalsRowShown="0" headerRowDxfId="7">
  <tableColumns count="16">
    <tableColumn id="1" xr3:uid="{E0F53404-FBC2-4060-A7C5-2AD61B224673}" name="Car_ID"/>
    <tableColumn id="2" xr3:uid="{23ACEC5E-1B08-4647-9A14-9C22E543D4C9}" name="Year"/>
    <tableColumn id="3" xr3:uid="{80FAD592-1135-4585-BC48-C364C6F59259}" name="Brand"/>
    <tableColumn id="4" xr3:uid="{90B8F607-FA98-4264-91F0-0DD5E7F81CC9}" name="Model"/>
    <tableColumn id="5" xr3:uid="{1462E553-E3CF-494C-B2E8-4AB12468EE81}" name="Fuel_Type"/>
    <tableColumn id="6" xr3:uid="{680CF155-5428-4D86-9198-104476712141}" name="Transmission"/>
    <tableColumn id="7" xr3:uid="{166BCB7E-0796-4514-8C81-1DF6720EB931}" name="Engine_CC"/>
    <tableColumn id="8" xr3:uid="{0B5614C5-961F-4B03-BFBC-BE38FB5D414D}" name="Mileage_kmpl"/>
    <tableColumn id="9" xr3:uid="{F7DDE902-B2FC-4248-BA96-B33C5B08997E}" name="City"/>
    <tableColumn id="10" xr3:uid="{0BFC0677-2765-4813-8EF9-BA3D8BE808A6}" name="Price_INR" dataDxfId="6"/>
    <tableColumn id="11" xr3:uid="{13610966-93CD-453C-BFBB-F033E9B5254C}" name="Sales_Units" dataDxfId="5"/>
    <tableColumn id="12" xr3:uid="{E6992243-D16F-4129-A0CC-261F37F71D84}" name="Revenue" dataDxfId="4">
      <calculatedColumnFormula>K5*L5</calculatedColumnFormula>
    </tableColumn>
    <tableColumn id="13" xr3:uid="{52CA7E9B-69D5-45E2-BD8C-4DEFCF018F2D}" name="Cost" dataDxfId="3">
      <calculatedColumnFormula>M5*0.8</calculatedColumnFormula>
    </tableColumn>
    <tableColumn id="14" xr3:uid="{823730A6-4289-40F5-B247-1BB3E6E5436F}" name="Profit" dataDxfId="2">
      <calculatedColumnFormula>M5-N5</calculatedColumnFormula>
    </tableColumn>
    <tableColumn id="15" xr3:uid="{F97AA426-C444-4454-B95E-0A3BF95E76C9}" name="Salesman names" dataDxfId="1"/>
    <tableColumn id="16" xr3:uid="{BA567B19-1DB1-4C6C-B7C7-AD40EB35FE75}" name="Customer Rating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C662-C52F-4EE2-8004-115F3247F080}">
  <dimension ref="B4:Q104"/>
  <sheetViews>
    <sheetView tabSelected="1" workbookViewId="0">
      <selection activeCell="P3" sqref="P3"/>
    </sheetView>
  </sheetViews>
  <sheetFormatPr defaultRowHeight="14.4" x14ac:dyDescent="0.3"/>
  <cols>
    <col min="7" max="7" width="13.77734375" bestFit="1" customWidth="1"/>
    <col min="8" max="8" width="11.77734375" bestFit="1" customWidth="1"/>
    <col min="9" max="9" width="14.5546875" bestFit="1" customWidth="1"/>
    <col min="10" max="10" width="9.77734375" bestFit="1" customWidth="1"/>
    <col min="11" max="11" width="11.21875" bestFit="1" customWidth="1"/>
    <col min="12" max="12" width="12.5546875" bestFit="1" customWidth="1"/>
    <col min="13" max="14" width="13.44140625" bestFit="1" customWidth="1"/>
    <col min="15" max="15" width="12.33203125" bestFit="1" customWidth="1"/>
    <col min="16" max="17" width="16.77734375" bestFit="1" customWidth="1"/>
  </cols>
  <sheetData>
    <row r="4" spans="2:17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s="1" t="s">
        <v>9</v>
      </c>
      <c r="L4" s="2" t="s">
        <v>10</v>
      </c>
      <c r="M4" s="1" t="s">
        <v>11</v>
      </c>
      <c r="N4" t="s">
        <v>12</v>
      </c>
      <c r="O4" s="1" t="s">
        <v>13</v>
      </c>
      <c r="P4" s="1" t="s">
        <v>14</v>
      </c>
      <c r="Q4" t="s">
        <v>15</v>
      </c>
    </row>
    <row r="5" spans="2:17" ht="28.8" x14ac:dyDescent="0.3">
      <c r="B5">
        <v>1</v>
      </c>
      <c r="C5">
        <v>2015</v>
      </c>
      <c r="D5" t="s">
        <v>16</v>
      </c>
      <c r="E5" t="s">
        <v>17</v>
      </c>
      <c r="F5" t="s">
        <v>18</v>
      </c>
      <c r="G5" t="s">
        <v>19</v>
      </c>
      <c r="H5">
        <v>2849</v>
      </c>
      <c r="I5">
        <v>10.92</v>
      </c>
      <c r="J5" t="s">
        <v>20</v>
      </c>
      <c r="K5" s="1">
        <v>1387251</v>
      </c>
      <c r="L5" s="2">
        <v>2088</v>
      </c>
      <c r="M5" s="1">
        <f>K5*L5</f>
        <v>2896580088</v>
      </c>
      <c r="N5" s="1">
        <f>M5*0.8</f>
        <v>2317264070.4000001</v>
      </c>
      <c r="O5" s="1">
        <f>M5-N5</f>
        <v>579316017.5999999</v>
      </c>
      <c r="P5" s="3" t="s">
        <v>21</v>
      </c>
      <c r="Q5" s="4">
        <v>4.3</v>
      </c>
    </row>
    <row r="6" spans="2:17" ht="28.8" x14ac:dyDescent="0.3">
      <c r="B6">
        <v>2</v>
      </c>
      <c r="C6">
        <v>2015</v>
      </c>
      <c r="D6" t="s">
        <v>22</v>
      </c>
      <c r="E6" t="s">
        <v>23</v>
      </c>
      <c r="F6" t="s">
        <v>24</v>
      </c>
      <c r="G6" t="s">
        <v>25</v>
      </c>
      <c r="H6">
        <v>2582</v>
      </c>
      <c r="I6">
        <v>12.77</v>
      </c>
      <c r="J6" t="s">
        <v>26</v>
      </c>
      <c r="K6" s="1">
        <v>1600471</v>
      </c>
      <c r="L6" s="2">
        <v>4910</v>
      </c>
      <c r="M6" s="1">
        <f t="shared" ref="M6:M69" si="0">K6*L6</f>
        <v>7858312610</v>
      </c>
      <c r="N6" s="1">
        <f t="shared" ref="N6:N69" si="1">M6*0.8</f>
        <v>6286650088</v>
      </c>
      <c r="O6" s="1">
        <f t="shared" ref="O6:O69" si="2">M6-N6</f>
        <v>1571662522</v>
      </c>
      <c r="P6" s="3" t="s">
        <v>27</v>
      </c>
      <c r="Q6" s="4">
        <v>4.5</v>
      </c>
    </row>
    <row r="7" spans="2:17" ht="28.8" x14ac:dyDescent="0.3">
      <c r="B7">
        <v>3</v>
      </c>
      <c r="C7">
        <v>2015</v>
      </c>
      <c r="D7" t="s">
        <v>28</v>
      </c>
      <c r="E7" t="s">
        <v>29</v>
      </c>
      <c r="F7" t="s">
        <v>30</v>
      </c>
      <c r="G7" t="s">
        <v>25</v>
      </c>
      <c r="H7">
        <v>1779</v>
      </c>
      <c r="I7">
        <v>15.24</v>
      </c>
      <c r="J7" t="s">
        <v>31</v>
      </c>
      <c r="K7" s="1">
        <v>1266531</v>
      </c>
      <c r="L7" s="2">
        <v>1393</v>
      </c>
      <c r="M7" s="1">
        <f t="shared" si="0"/>
        <v>1764277683</v>
      </c>
      <c r="N7" s="1">
        <f t="shared" si="1"/>
        <v>1411422146.4000001</v>
      </c>
      <c r="O7" s="1">
        <f t="shared" si="2"/>
        <v>352855536.5999999</v>
      </c>
      <c r="P7" s="3" t="s">
        <v>32</v>
      </c>
      <c r="Q7" s="4">
        <v>4.5</v>
      </c>
    </row>
    <row r="8" spans="2:17" x14ac:dyDescent="0.3">
      <c r="B8">
        <v>4</v>
      </c>
      <c r="C8">
        <v>2015</v>
      </c>
      <c r="D8" t="s">
        <v>16</v>
      </c>
      <c r="E8" t="s">
        <v>33</v>
      </c>
      <c r="F8" t="s">
        <v>30</v>
      </c>
      <c r="G8" t="s">
        <v>19</v>
      </c>
      <c r="H8">
        <v>1969</v>
      </c>
      <c r="I8">
        <v>12.65</v>
      </c>
      <c r="J8" t="s">
        <v>34</v>
      </c>
      <c r="K8" s="1">
        <v>1136867</v>
      </c>
      <c r="L8" s="2">
        <v>4218</v>
      </c>
      <c r="M8" s="1">
        <f t="shared" si="0"/>
        <v>4795305006</v>
      </c>
      <c r="N8" s="1">
        <f t="shared" si="1"/>
        <v>3836244004.8000002</v>
      </c>
      <c r="O8" s="1">
        <f t="shared" si="2"/>
        <v>959061001.19999981</v>
      </c>
      <c r="P8" s="3" t="s">
        <v>35</v>
      </c>
      <c r="Q8" s="4">
        <v>4.2</v>
      </c>
    </row>
    <row r="9" spans="2:17" ht="28.8" x14ac:dyDescent="0.3">
      <c r="B9">
        <v>5</v>
      </c>
      <c r="C9">
        <v>2015</v>
      </c>
      <c r="D9" t="s">
        <v>22</v>
      </c>
      <c r="E9" t="s">
        <v>36</v>
      </c>
      <c r="F9" t="s">
        <v>37</v>
      </c>
      <c r="G9" t="s">
        <v>19</v>
      </c>
      <c r="H9">
        <v>2428</v>
      </c>
      <c r="I9">
        <v>11.77</v>
      </c>
      <c r="J9" t="s">
        <v>34</v>
      </c>
      <c r="K9" s="1">
        <v>727993</v>
      </c>
      <c r="L9" s="2">
        <v>2292</v>
      </c>
      <c r="M9" s="1">
        <f t="shared" si="0"/>
        <v>1668559956</v>
      </c>
      <c r="N9" s="1">
        <f t="shared" si="1"/>
        <v>1334847964.8000002</v>
      </c>
      <c r="O9" s="1">
        <f t="shared" si="2"/>
        <v>333711991.19999981</v>
      </c>
      <c r="P9" s="3" t="s">
        <v>38</v>
      </c>
      <c r="Q9" s="4">
        <v>4.0999999999999996</v>
      </c>
    </row>
    <row r="10" spans="2:17" ht="28.8" x14ac:dyDescent="0.3">
      <c r="B10">
        <v>6</v>
      </c>
      <c r="C10">
        <v>2015</v>
      </c>
      <c r="D10" t="s">
        <v>16</v>
      </c>
      <c r="E10" t="s">
        <v>33</v>
      </c>
      <c r="F10" t="s">
        <v>30</v>
      </c>
      <c r="G10" t="s">
        <v>25</v>
      </c>
      <c r="H10">
        <v>1484</v>
      </c>
      <c r="I10">
        <v>16.05</v>
      </c>
      <c r="J10" t="s">
        <v>31</v>
      </c>
      <c r="K10" s="1">
        <v>2484437</v>
      </c>
      <c r="L10" s="2">
        <v>2103</v>
      </c>
      <c r="M10" s="1">
        <f t="shared" si="0"/>
        <v>5224771011</v>
      </c>
      <c r="N10" s="1">
        <f t="shared" si="1"/>
        <v>4179816808.8000002</v>
      </c>
      <c r="O10" s="1">
        <f t="shared" si="2"/>
        <v>1044954202.1999998</v>
      </c>
      <c r="P10" s="3" t="s">
        <v>39</v>
      </c>
      <c r="Q10" s="4">
        <v>4.3</v>
      </c>
    </row>
    <row r="11" spans="2:17" x14ac:dyDescent="0.3">
      <c r="B11">
        <v>7</v>
      </c>
      <c r="C11">
        <v>2015</v>
      </c>
      <c r="D11" t="s">
        <v>40</v>
      </c>
      <c r="E11" t="s">
        <v>41</v>
      </c>
      <c r="F11" t="s">
        <v>18</v>
      </c>
      <c r="G11" t="s">
        <v>25</v>
      </c>
      <c r="H11">
        <v>2680</v>
      </c>
      <c r="I11">
        <v>23.13</v>
      </c>
      <c r="J11" t="s">
        <v>42</v>
      </c>
      <c r="K11" s="1">
        <v>2874609</v>
      </c>
      <c r="L11" s="2">
        <v>1254</v>
      </c>
      <c r="M11" s="1">
        <f t="shared" si="0"/>
        <v>3604759686</v>
      </c>
      <c r="N11" s="1">
        <f t="shared" si="1"/>
        <v>2883807748.8000002</v>
      </c>
      <c r="O11" s="1">
        <f t="shared" si="2"/>
        <v>720951937.19999981</v>
      </c>
      <c r="P11" s="3" t="s">
        <v>43</v>
      </c>
      <c r="Q11" s="4">
        <v>4.4000000000000004</v>
      </c>
    </row>
    <row r="12" spans="2:17" ht="28.8" x14ac:dyDescent="0.3">
      <c r="B12">
        <v>8</v>
      </c>
      <c r="C12">
        <v>2015</v>
      </c>
      <c r="D12" t="s">
        <v>16</v>
      </c>
      <c r="E12" t="s">
        <v>33</v>
      </c>
      <c r="F12" t="s">
        <v>18</v>
      </c>
      <c r="G12" t="s">
        <v>19</v>
      </c>
      <c r="H12">
        <v>1565</v>
      </c>
      <c r="I12">
        <v>22.6</v>
      </c>
      <c r="J12" t="s">
        <v>31</v>
      </c>
      <c r="K12" s="1">
        <v>1115946</v>
      </c>
      <c r="L12" s="2">
        <v>2714</v>
      </c>
      <c r="M12" s="1">
        <f t="shared" si="0"/>
        <v>3028677444</v>
      </c>
      <c r="N12" s="1">
        <f t="shared" si="1"/>
        <v>2422941955.2000003</v>
      </c>
      <c r="O12" s="1">
        <f t="shared" si="2"/>
        <v>605735488.79999971</v>
      </c>
      <c r="P12" s="3" t="s">
        <v>44</v>
      </c>
      <c r="Q12" s="4">
        <v>4.5</v>
      </c>
    </row>
    <row r="13" spans="2:17" ht="28.8" x14ac:dyDescent="0.3">
      <c r="B13">
        <v>9</v>
      </c>
      <c r="C13">
        <v>2015</v>
      </c>
      <c r="D13" t="s">
        <v>45</v>
      </c>
      <c r="E13" t="s">
        <v>46</v>
      </c>
      <c r="F13" t="s">
        <v>18</v>
      </c>
      <c r="G13" t="s">
        <v>19</v>
      </c>
      <c r="H13">
        <v>1473</v>
      </c>
      <c r="I13">
        <v>19.649999999999999</v>
      </c>
      <c r="J13" t="s">
        <v>31</v>
      </c>
      <c r="K13" s="1">
        <v>1210005</v>
      </c>
      <c r="L13" s="2">
        <v>483</v>
      </c>
      <c r="M13" s="1">
        <f t="shared" si="0"/>
        <v>584432415</v>
      </c>
      <c r="N13" s="1">
        <f t="shared" si="1"/>
        <v>467545932</v>
      </c>
      <c r="O13" s="1">
        <f t="shared" si="2"/>
        <v>116886483</v>
      </c>
      <c r="P13" s="3" t="s">
        <v>47</v>
      </c>
      <c r="Q13" s="4">
        <v>4.5999999999999996</v>
      </c>
    </row>
    <row r="14" spans="2:17" ht="28.8" x14ac:dyDescent="0.3">
      <c r="B14">
        <v>10</v>
      </c>
      <c r="C14">
        <v>2016</v>
      </c>
      <c r="D14" t="s">
        <v>16</v>
      </c>
      <c r="E14" t="s">
        <v>17</v>
      </c>
      <c r="F14" t="s">
        <v>18</v>
      </c>
      <c r="G14" t="s">
        <v>19</v>
      </c>
      <c r="H14">
        <v>1993</v>
      </c>
      <c r="I14">
        <v>10.52</v>
      </c>
      <c r="J14" t="s">
        <v>20</v>
      </c>
      <c r="K14" s="1">
        <v>948318</v>
      </c>
      <c r="L14" s="2">
        <v>702</v>
      </c>
      <c r="M14" s="1">
        <f t="shared" si="0"/>
        <v>665719236</v>
      </c>
      <c r="N14" s="1">
        <f t="shared" si="1"/>
        <v>532575388.80000001</v>
      </c>
      <c r="O14" s="1">
        <f t="shared" si="2"/>
        <v>133143847.19999999</v>
      </c>
      <c r="P14" s="3" t="s">
        <v>48</v>
      </c>
      <c r="Q14" s="4">
        <v>4.4000000000000004</v>
      </c>
    </row>
    <row r="15" spans="2:17" ht="28.8" x14ac:dyDescent="0.3">
      <c r="B15">
        <v>11</v>
      </c>
      <c r="C15">
        <v>2016</v>
      </c>
      <c r="D15" t="s">
        <v>45</v>
      </c>
      <c r="E15" t="s">
        <v>49</v>
      </c>
      <c r="F15" t="s">
        <v>18</v>
      </c>
      <c r="G15" t="s">
        <v>19</v>
      </c>
      <c r="H15">
        <v>1482</v>
      </c>
      <c r="I15">
        <v>23.19</v>
      </c>
      <c r="J15" t="s">
        <v>42</v>
      </c>
      <c r="K15" s="1">
        <v>1304331</v>
      </c>
      <c r="L15" s="2">
        <v>1736</v>
      </c>
      <c r="M15" s="1">
        <f t="shared" si="0"/>
        <v>2264318616</v>
      </c>
      <c r="N15" s="1">
        <f t="shared" si="1"/>
        <v>1811454892.8000002</v>
      </c>
      <c r="O15" s="1">
        <f t="shared" si="2"/>
        <v>452863723.19999981</v>
      </c>
      <c r="P15" s="3" t="s">
        <v>50</v>
      </c>
      <c r="Q15" s="4">
        <v>4.2</v>
      </c>
    </row>
    <row r="16" spans="2:17" ht="28.8" x14ac:dyDescent="0.3">
      <c r="B16">
        <v>12</v>
      </c>
      <c r="C16">
        <v>2016</v>
      </c>
      <c r="D16" t="s">
        <v>22</v>
      </c>
      <c r="E16" t="s">
        <v>51</v>
      </c>
      <c r="F16" t="s">
        <v>24</v>
      </c>
      <c r="G16" t="s">
        <v>19</v>
      </c>
      <c r="H16">
        <v>955</v>
      </c>
      <c r="I16">
        <v>21.94</v>
      </c>
      <c r="J16" t="s">
        <v>34</v>
      </c>
      <c r="K16" s="1">
        <v>2648264</v>
      </c>
      <c r="L16" s="2">
        <v>2533</v>
      </c>
      <c r="M16" s="1">
        <f t="shared" si="0"/>
        <v>6708052712</v>
      </c>
      <c r="N16" s="1">
        <f t="shared" si="1"/>
        <v>5366442169.6000004</v>
      </c>
      <c r="O16" s="1">
        <f t="shared" si="2"/>
        <v>1341610542.3999996</v>
      </c>
      <c r="P16" s="3" t="s">
        <v>52</v>
      </c>
      <c r="Q16" s="4">
        <v>4.0999999999999996</v>
      </c>
    </row>
    <row r="17" spans="2:17" ht="28.8" x14ac:dyDescent="0.3">
      <c r="B17">
        <v>13</v>
      </c>
      <c r="C17">
        <v>2016</v>
      </c>
      <c r="D17" t="s">
        <v>40</v>
      </c>
      <c r="E17" t="s">
        <v>53</v>
      </c>
      <c r="F17" t="s">
        <v>30</v>
      </c>
      <c r="G17" t="s">
        <v>19</v>
      </c>
      <c r="H17">
        <v>1194</v>
      </c>
      <c r="I17">
        <v>19.440000000000001</v>
      </c>
      <c r="J17" t="s">
        <v>42</v>
      </c>
      <c r="K17" s="1">
        <v>1551706</v>
      </c>
      <c r="L17" s="2">
        <v>70</v>
      </c>
      <c r="M17" s="1">
        <f t="shared" si="0"/>
        <v>108619420</v>
      </c>
      <c r="N17" s="1">
        <f t="shared" si="1"/>
        <v>86895536</v>
      </c>
      <c r="O17" s="1">
        <f t="shared" si="2"/>
        <v>21723884</v>
      </c>
      <c r="P17" s="3" t="s">
        <v>54</v>
      </c>
      <c r="Q17" s="4">
        <v>4.7</v>
      </c>
    </row>
    <row r="18" spans="2:17" x14ac:dyDescent="0.3">
      <c r="B18">
        <v>14</v>
      </c>
      <c r="C18">
        <v>2016</v>
      </c>
      <c r="D18" t="s">
        <v>22</v>
      </c>
      <c r="E18" t="s">
        <v>55</v>
      </c>
      <c r="F18" t="s">
        <v>24</v>
      </c>
      <c r="G18" t="s">
        <v>19</v>
      </c>
      <c r="H18">
        <v>2059</v>
      </c>
      <c r="I18">
        <v>20.88</v>
      </c>
      <c r="J18" t="s">
        <v>26</v>
      </c>
      <c r="K18" s="1">
        <v>1900138</v>
      </c>
      <c r="L18" s="2">
        <v>1644</v>
      </c>
      <c r="M18" s="1">
        <f t="shared" si="0"/>
        <v>3123826872</v>
      </c>
      <c r="N18" s="1">
        <f t="shared" si="1"/>
        <v>2499061497.5999999</v>
      </c>
      <c r="O18" s="1">
        <f t="shared" si="2"/>
        <v>624765374.4000001</v>
      </c>
      <c r="P18" s="3" t="s">
        <v>56</v>
      </c>
      <c r="Q18" s="4">
        <v>4.7</v>
      </c>
    </row>
    <row r="19" spans="2:17" x14ac:dyDescent="0.3">
      <c r="B19">
        <v>15</v>
      </c>
      <c r="C19">
        <v>2016</v>
      </c>
      <c r="D19" t="s">
        <v>16</v>
      </c>
      <c r="E19" t="s">
        <v>17</v>
      </c>
      <c r="F19" t="s">
        <v>18</v>
      </c>
      <c r="G19" t="s">
        <v>19</v>
      </c>
      <c r="H19">
        <v>1210</v>
      </c>
      <c r="I19">
        <v>13.21</v>
      </c>
      <c r="J19" t="s">
        <v>26</v>
      </c>
      <c r="K19" s="1">
        <v>2374175</v>
      </c>
      <c r="L19" s="2">
        <v>919</v>
      </c>
      <c r="M19" s="1">
        <f t="shared" si="0"/>
        <v>2181866825</v>
      </c>
      <c r="N19" s="1">
        <f t="shared" si="1"/>
        <v>1745493460</v>
      </c>
      <c r="O19" s="1">
        <f t="shared" si="2"/>
        <v>436373365</v>
      </c>
      <c r="P19" s="3" t="s">
        <v>57</v>
      </c>
      <c r="Q19" s="4">
        <v>4.7</v>
      </c>
    </row>
    <row r="20" spans="2:17" x14ac:dyDescent="0.3">
      <c r="B20">
        <v>16</v>
      </c>
      <c r="C20">
        <v>2016</v>
      </c>
      <c r="D20" t="s">
        <v>40</v>
      </c>
      <c r="E20" t="s">
        <v>53</v>
      </c>
      <c r="F20" t="s">
        <v>18</v>
      </c>
      <c r="G20" t="s">
        <v>25</v>
      </c>
      <c r="H20">
        <v>1274</v>
      </c>
      <c r="I20">
        <v>18.78</v>
      </c>
      <c r="J20" t="s">
        <v>42</v>
      </c>
      <c r="K20" s="1">
        <v>1942248</v>
      </c>
      <c r="L20" s="2">
        <v>557</v>
      </c>
      <c r="M20" s="1">
        <f t="shared" si="0"/>
        <v>1081832136</v>
      </c>
      <c r="N20" s="1">
        <f t="shared" si="1"/>
        <v>865465708.80000007</v>
      </c>
      <c r="O20" s="1">
        <f t="shared" si="2"/>
        <v>216366427.19999993</v>
      </c>
      <c r="P20" s="3" t="s">
        <v>58</v>
      </c>
      <c r="Q20" s="4">
        <v>4.8</v>
      </c>
    </row>
    <row r="21" spans="2:17" ht="28.8" x14ac:dyDescent="0.3">
      <c r="B21">
        <v>17</v>
      </c>
      <c r="C21">
        <v>2016</v>
      </c>
      <c r="D21" t="s">
        <v>22</v>
      </c>
      <c r="E21" t="s">
        <v>55</v>
      </c>
      <c r="F21" t="s">
        <v>37</v>
      </c>
      <c r="G21" t="s">
        <v>19</v>
      </c>
      <c r="H21">
        <v>1117</v>
      </c>
      <c r="I21">
        <v>18.149999999999999</v>
      </c>
      <c r="J21" t="s">
        <v>31</v>
      </c>
      <c r="K21" s="1">
        <v>944851</v>
      </c>
      <c r="L21" s="2">
        <v>2708</v>
      </c>
      <c r="M21" s="1">
        <f t="shared" si="0"/>
        <v>2558656508</v>
      </c>
      <c r="N21" s="1">
        <f t="shared" si="1"/>
        <v>2046925206.4000001</v>
      </c>
      <c r="O21" s="1">
        <f t="shared" si="2"/>
        <v>511731301.5999999</v>
      </c>
      <c r="P21" s="3" t="s">
        <v>59</v>
      </c>
      <c r="Q21" s="4">
        <v>4.9000000000000004</v>
      </c>
    </row>
    <row r="22" spans="2:17" ht="28.8" x14ac:dyDescent="0.3">
      <c r="B22">
        <v>18</v>
      </c>
      <c r="C22">
        <v>2016</v>
      </c>
      <c r="D22" t="s">
        <v>28</v>
      </c>
      <c r="E22" t="s">
        <v>60</v>
      </c>
      <c r="F22" t="s">
        <v>37</v>
      </c>
      <c r="G22" t="s">
        <v>25</v>
      </c>
      <c r="H22">
        <v>1860</v>
      </c>
      <c r="I22">
        <v>16.95</v>
      </c>
      <c r="J22" t="s">
        <v>31</v>
      </c>
      <c r="K22" s="1">
        <v>2252715</v>
      </c>
      <c r="L22" s="2">
        <v>3166</v>
      </c>
      <c r="M22" s="1">
        <f t="shared" si="0"/>
        <v>7132095690</v>
      </c>
      <c r="N22" s="1">
        <f t="shared" si="1"/>
        <v>5705676552</v>
      </c>
      <c r="O22" s="1">
        <f t="shared" si="2"/>
        <v>1426419138</v>
      </c>
      <c r="P22" s="3" t="s">
        <v>61</v>
      </c>
      <c r="Q22" s="4">
        <v>4.5999999999999996</v>
      </c>
    </row>
    <row r="23" spans="2:17" ht="28.8" x14ac:dyDescent="0.3">
      <c r="B23">
        <v>19</v>
      </c>
      <c r="C23">
        <v>2016</v>
      </c>
      <c r="D23" t="s">
        <v>16</v>
      </c>
      <c r="E23" t="s">
        <v>17</v>
      </c>
      <c r="F23" t="s">
        <v>37</v>
      </c>
      <c r="G23" t="s">
        <v>19</v>
      </c>
      <c r="H23">
        <v>2076</v>
      </c>
      <c r="I23">
        <v>22.21</v>
      </c>
      <c r="J23" t="s">
        <v>26</v>
      </c>
      <c r="K23" s="1">
        <v>502673</v>
      </c>
      <c r="L23" s="2">
        <v>4673</v>
      </c>
      <c r="M23" s="1">
        <f t="shared" si="0"/>
        <v>2348990929</v>
      </c>
      <c r="N23" s="1">
        <f t="shared" si="1"/>
        <v>1879192743.2</v>
      </c>
      <c r="O23" s="1">
        <f t="shared" si="2"/>
        <v>469798185.79999995</v>
      </c>
      <c r="P23" s="3" t="s">
        <v>62</v>
      </c>
      <c r="Q23" s="4">
        <v>4.8</v>
      </c>
    </row>
    <row r="24" spans="2:17" ht="28.8" x14ac:dyDescent="0.3">
      <c r="B24">
        <v>20</v>
      </c>
      <c r="C24">
        <v>2016</v>
      </c>
      <c r="D24" t="s">
        <v>45</v>
      </c>
      <c r="E24" t="s">
        <v>46</v>
      </c>
      <c r="F24" t="s">
        <v>24</v>
      </c>
      <c r="G24" t="s">
        <v>25</v>
      </c>
      <c r="H24">
        <v>2975</v>
      </c>
      <c r="I24">
        <v>10.69</v>
      </c>
      <c r="J24" t="s">
        <v>42</v>
      </c>
      <c r="K24" s="1">
        <v>1197675</v>
      </c>
      <c r="L24" s="2">
        <v>1650</v>
      </c>
      <c r="M24" s="1">
        <f t="shared" si="0"/>
        <v>1976163750</v>
      </c>
      <c r="N24" s="1">
        <f t="shared" si="1"/>
        <v>1580931000</v>
      </c>
      <c r="O24" s="1">
        <f t="shared" si="2"/>
        <v>395232750</v>
      </c>
      <c r="P24" s="3" t="s">
        <v>63</v>
      </c>
      <c r="Q24" s="4">
        <v>4.7</v>
      </c>
    </row>
    <row r="25" spans="2:17" ht="28.8" x14ac:dyDescent="0.3">
      <c r="B25">
        <v>21</v>
      </c>
      <c r="C25">
        <v>2016</v>
      </c>
      <c r="D25" t="s">
        <v>16</v>
      </c>
      <c r="E25" t="s">
        <v>64</v>
      </c>
      <c r="F25" t="s">
        <v>30</v>
      </c>
      <c r="G25" t="s">
        <v>25</v>
      </c>
      <c r="H25">
        <v>1679</v>
      </c>
      <c r="I25">
        <v>20.3</v>
      </c>
      <c r="J25" t="s">
        <v>31</v>
      </c>
      <c r="K25" s="1">
        <v>2089023</v>
      </c>
      <c r="L25" s="2">
        <v>4044</v>
      </c>
      <c r="M25" s="1">
        <f t="shared" si="0"/>
        <v>8448009012</v>
      </c>
      <c r="N25" s="1">
        <f t="shared" si="1"/>
        <v>6758407209.6000004</v>
      </c>
      <c r="O25" s="1">
        <f t="shared" si="2"/>
        <v>1689601802.3999996</v>
      </c>
      <c r="P25" s="3" t="s">
        <v>65</v>
      </c>
      <c r="Q25" s="4">
        <v>4.5999999999999996</v>
      </c>
    </row>
    <row r="26" spans="2:17" ht="28.8" x14ac:dyDescent="0.3">
      <c r="B26">
        <v>22</v>
      </c>
      <c r="C26">
        <v>2016</v>
      </c>
      <c r="D26" t="s">
        <v>28</v>
      </c>
      <c r="E26" t="s">
        <v>60</v>
      </c>
      <c r="F26" t="s">
        <v>37</v>
      </c>
      <c r="G26" t="s">
        <v>19</v>
      </c>
      <c r="H26">
        <v>1916</v>
      </c>
      <c r="I26">
        <v>20.6</v>
      </c>
      <c r="J26" t="s">
        <v>31</v>
      </c>
      <c r="K26" s="1">
        <v>1200134</v>
      </c>
      <c r="L26" s="2">
        <v>1105</v>
      </c>
      <c r="M26" s="1">
        <f t="shared" si="0"/>
        <v>1326148070</v>
      </c>
      <c r="N26" s="1">
        <f t="shared" si="1"/>
        <v>1060918456</v>
      </c>
      <c r="O26" s="1">
        <f t="shared" si="2"/>
        <v>265229614</v>
      </c>
      <c r="P26" s="3" t="s">
        <v>66</v>
      </c>
      <c r="Q26" s="4">
        <v>4.9000000000000004</v>
      </c>
    </row>
    <row r="27" spans="2:17" ht="28.8" x14ac:dyDescent="0.3">
      <c r="B27">
        <v>23</v>
      </c>
      <c r="C27">
        <v>2017</v>
      </c>
      <c r="D27" t="s">
        <v>40</v>
      </c>
      <c r="E27" t="s">
        <v>53</v>
      </c>
      <c r="F27" t="s">
        <v>37</v>
      </c>
      <c r="G27" t="s">
        <v>19</v>
      </c>
      <c r="H27">
        <v>2137</v>
      </c>
      <c r="I27">
        <v>11.17</v>
      </c>
      <c r="J27" t="s">
        <v>31</v>
      </c>
      <c r="K27" s="1">
        <v>2574779</v>
      </c>
      <c r="L27" s="2">
        <v>4762</v>
      </c>
      <c r="M27" s="1">
        <f t="shared" si="0"/>
        <v>12261097598</v>
      </c>
      <c r="N27" s="1">
        <f t="shared" si="1"/>
        <v>9808878078.3999996</v>
      </c>
      <c r="O27" s="1">
        <f t="shared" si="2"/>
        <v>2452219519.6000004</v>
      </c>
      <c r="P27" s="3" t="s">
        <v>67</v>
      </c>
      <c r="Q27" s="4">
        <v>4.5</v>
      </c>
    </row>
    <row r="28" spans="2:17" x14ac:dyDescent="0.3">
      <c r="B28">
        <v>24</v>
      </c>
      <c r="C28">
        <v>2017</v>
      </c>
      <c r="D28" t="s">
        <v>28</v>
      </c>
      <c r="E28" t="s">
        <v>68</v>
      </c>
      <c r="F28" t="s">
        <v>24</v>
      </c>
      <c r="G28" t="s">
        <v>25</v>
      </c>
      <c r="H28">
        <v>2338</v>
      </c>
      <c r="I28">
        <v>13.98</v>
      </c>
      <c r="J28" t="s">
        <v>31</v>
      </c>
      <c r="K28" s="1">
        <v>2971221</v>
      </c>
      <c r="L28" s="2">
        <v>92</v>
      </c>
      <c r="M28" s="1">
        <f t="shared" si="0"/>
        <v>273352332</v>
      </c>
      <c r="N28" s="1">
        <f t="shared" si="1"/>
        <v>218681865.60000002</v>
      </c>
      <c r="O28" s="1">
        <f t="shared" si="2"/>
        <v>54670466.399999976</v>
      </c>
      <c r="P28" s="3" t="s">
        <v>69</v>
      </c>
      <c r="Q28" s="4">
        <v>4.3</v>
      </c>
    </row>
    <row r="29" spans="2:17" ht="28.8" x14ac:dyDescent="0.3">
      <c r="B29">
        <v>25</v>
      </c>
      <c r="C29">
        <v>2017</v>
      </c>
      <c r="D29" t="s">
        <v>40</v>
      </c>
      <c r="E29" t="s">
        <v>53</v>
      </c>
      <c r="F29" t="s">
        <v>30</v>
      </c>
      <c r="G29" t="s">
        <v>19</v>
      </c>
      <c r="H29">
        <v>2173</v>
      </c>
      <c r="I29">
        <v>16.100000000000001</v>
      </c>
      <c r="J29" t="s">
        <v>26</v>
      </c>
      <c r="K29" s="1">
        <v>2063757</v>
      </c>
      <c r="L29" s="2">
        <v>1968</v>
      </c>
      <c r="M29" s="1">
        <f t="shared" si="0"/>
        <v>4061473776</v>
      </c>
      <c r="N29" s="1">
        <f t="shared" si="1"/>
        <v>3249179020.8000002</v>
      </c>
      <c r="O29" s="1">
        <f t="shared" si="2"/>
        <v>812294755.19999981</v>
      </c>
      <c r="P29" s="3" t="s">
        <v>52</v>
      </c>
      <c r="Q29" s="4">
        <v>4.5</v>
      </c>
    </row>
    <row r="30" spans="2:17" ht="28.8" x14ac:dyDescent="0.3">
      <c r="B30">
        <v>26</v>
      </c>
      <c r="C30">
        <v>2017</v>
      </c>
      <c r="D30" t="s">
        <v>16</v>
      </c>
      <c r="E30" t="s">
        <v>70</v>
      </c>
      <c r="F30" t="s">
        <v>24</v>
      </c>
      <c r="G30" t="s">
        <v>19</v>
      </c>
      <c r="H30">
        <v>2499</v>
      </c>
      <c r="I30">
        <v>21.55</v>
      </c>
      <c r="J30" t="s">
        <v>42</v>
      </c>
      <c r="K30" s="1">
        <v>838027</v>
      </c>
      <c r="L30" s="2">
        <v>2173</v>
      </c>
      <c r="M30" s="1">
        <f t="shared" si="0"/>
        <v>1821032671</v>
      </c>
      <c r="N30" s="1">
        <f t="shared" si="1"/>
        <v>1456826136.8000002</v>
      </c>
      <c r="O30" s="1">
        <f t="shared" si="2"/>
        <v>364206534.19999981</v>
      </c>
      <c r="P30" s="3" t="s">
        <v>54</v>
      </c>
      <c r="Q30" s="4">
        <v>4.5</v>
      </c>
    </row>
    <row r="31" spans="2:17" x14ac:dyDescent="0.3">
      <c r="B31">
        <v>27</v>
      </c>
      <c r="C31">
        <v>2017</v>
      </c>
      <c r="D31" t="s">
        <v>22</v>
      </c>
      <c r="E31" t="s">
        <v>23</v>
      </c>
      <c r="F31" t="s">
        <v>18</v>
      </c>
      <c r="G31" t="s">
        <v>19</v>
      </c>
      <c r="H31">
        <v>1355</v>
      </c>
      <c r="I31">
        <v>10.07</v>
      </c>
      <c r="J31" t="s">
        <v>26</v>
      </c>
      <c r="K31" s="1">
        <v>520377</v>
      </c>
      <c r="L31" s="2">
        <v>2734</v>
      </c>
      <c r="M31" s="1">
        <f t="shared" si="0"/>
        <v>1422710718</v>
      </c>
      <c r="N31" s="1">
        <f t="shared" si="1"/>
        <v>1138168574.4000001</v>
      </c>
      <c r="O31" s="1">
        <f t="shared" si="2"/>
        <v>284542143.5999999</v>
      </c>
      <c r="P31" s="3" t="s">
        <v>56</v>
      </c>
      <c r="Q31" s="4">
        <v>4.2</v>
      </c>
    </row>
    <row r="32" spans="2:17" x14ac:dyDescent="0.3">
      <c r="B32">
        <v>28</v>
      </c>
      <c r="C32">
        <v>2017</v>
      </c>
      <c r="D32" t="s">
        <v>40</v>
      </c>
      <c r="E32" t="s">
        <v>71</v>
      </c>
      <c r="F32" t="s">
        <v>37</v>
      </c>
      <c r="G32" t="s">
        <v>19</v>
      </c>
      <c r="H32">
        <v>1418</v>
      </c>
      <c r="I32">
        <v>23.19</v>
      </c>
      <c r="J32" t="s">
        <v>42</v>
      </c>
      <c r="K32" s="1">
        <v>1760931</v>
      </c>
      <c r="L32" s="2">
        <v>93</v>
      </c>
      <c r="M32" s="1">
        <f t="shared" si="0"/>
        <v>163766583</v>
      </c>
      <c r="N32" s="1">
        <f t="shared" si="1"/>
        <v>131013266.40000001</v>
      </c>
      <c r="O32" s="1">
        <f t="shared" si="2"/>
        <v>32753316.599999994</v>
      </c>
      <c r="P32" s="3" t="s">
        <v>57</v>
      </c>
      <c r="Q32" s="4">
        <v>4.0999999999999996</v>
      </c>
    </row>
    <row r="33" spans="2:17" x14ac:dyDescent="0.3">
      <c r="B33">
        <v>29</v>
      </c>
      <c r="C33">
        <v>2017</v>
      </c>
      <c r="D33" t="s">
        <v>16</v>
      </c>
      <c r="E33" t="s">
        <v>64</v>
      </c>
      <c r="F33" t="s">
        <v>18</v>
      </c>
      <c r="G33" t="s">
        <v>25</v>
      </c>
      <c r="H33">
        <v>1403</v>
      </c>
      <c r="I33">
        <v>10.75</v>
      </c>
      <c r="J33" t="s">
        <v>20</v>
      </c>
      <c r="K33" s="1">
        <v>2250261</v>
      </c>
      <c r="L33" s="2">
        <v>4685</v>
      </c>
      <c r="M33" s="1">
        <f t="shared" si="0"/>
        <v>10542472785</v>
      </c>
      <c r="N33" s="1">
        <f t="shared" si="1"/>
        <v>8433978228</v>
      </c>
      <c r="O33" s="1">
        <f t="shared" si="2"/>
        <v>2108494557</v>
      </c>
      <c r="P33" s="3" t="s">
        <v>58</v>
      </c>
      <c r="Q33" s="4">
        <v>4.3</v>
      </c>
    </row>
    <row r="34" spans="2:17" ht="28.8" x14ac:dyDescent="0.3">
      <c r="B34">
        <v>30</v>
      </c>
      <c r="C34">
        <v>2017</v>
      </c>
      <c r="D34" t="s">
        <v>22</v>
      </c>
      <c r="E34" t="s">
        <v>55</v>
      </c>
      <c r="F34" t="s">
        <v>30</v>
      </c>
      <c r="G34" t="s">
        <v>19</v>
      </c>
      <c r="H34">
        <v>979</v>
      </c>
      <c r="I34">
        <v>23.07</v>
      </c>
      <c r="J34" t="s">
        <v>31</v>
      </c>
      <c r="K34" s="1">
        <v>1450360</v>
      </c>
      <c r="L34" s="2">
        <v>2466</v>
      </c>
      <c r="M34" s="1">
        <f t="shared" si="0"/>
        <v>3576587760</v>
      </c>
      <c r="N34" s="1">
        <f t="shared" si="1"/>
        <v>2861270208</v>
      </c>
      <c r="O34" s="1">
        <f t="shared" si="2"/>
        <v>715317552</v>
      </c>
      <c r="P34" s="3" t="s">
        <v>59</v>
      </c>
      <c r="Q34" s="4">
        <v>4.4000000000000004</v>
      </c>
    </row>
    <row r="35" spans="2:17" ht="28.8" x14ac:dyDescent="0.3">
      <c r="B35">
        <v>31</v>
      </c>
      <c r="C35">
        <v>2017</v>
      </c>
      <c r="D35" t="s">
        <v>22</v>
      </c>
      <c r="E35" t="s">
        <v>36</v>
      </c>
      <c r="F35" t="s">
        <v>37</v>
      </c>
      <c r="G35" t="s">
        <v>19</v>
      </c>
      <c r="H35">
        <v>1774</v>
      </c>
      <c r="I35">
        <v>14.9</v>
      </c>
      <c r="J35" t="s">
        <v>42</v>
      </c>
      <c r="K35" s="1">
        <v>567963</v>
      </c>
      <c r="L35" s="2">
        <v>1246</v>
      </c>
      <c r="M35" s="1">
        <f t="shared" si="0"/>
        <v>707681898</v>
      </c>
      <c r="N35" s="1">
        <f t="shared" si="1"/>
        <v>566145518.39999998</v>
      </c>
      <c r="O35" s="1">
        <f t="shared" si="2"/>
        <v>141536379.60000002</v>
      </c>
      <c r="P35" s="3" t="s">
        <v>61</v>
      </c>
      <c r="Q35" s="4">
        <v>4.5</v>
      </c>
    </row>
    <row r="36" spans="2:17" ht="28.8" x14ac:dyDescent="0.3">
      <c r="B36">
        <v>32</v>
      </c>
      <c r="C36">
        <v>2017</v>
      </c>
      <c r="D36" t="s">
        <v>22</v>
      </c>
      <c r="E36" t="s">
        <v>51</v>
      </c>
      <c r="F36" t="s">
        <v>18</v>
      </c>
      <c r="G36" t="s">
        <v>25</v>
      </c>
      <c r="H36">
        <v>2005</v>
      </c>
      <c r="I36">
        <v>13.29</v>
      </c>
      <c r="J36" t="s">
        <v>31</v>
      </c>
      <c r="K36" s="1">
        <v>1350843</v>
      </c>
      <c r="L36" s="2">
        <v>2766</v>
      </c>
      <c r="M36" s="1">
        <f t="shared" si="0"/>
        <v>3736431738</v>
      </c>
      <c r="N36" s="1">
        <f t="shared" si="1"/>
        <v>2989145390.4000001</v>
      </c>
      <c r="O36" s="1">
        <f t="shared" si="2"/>
        <v>747286347.5999999</v>
      </c>
      <c r="P36" s="3" t="s">
        <v>62</v>
      </c>
      <c r="Q36" s="4">
        <v>4.5999999999999996</v>
      </c>
    </row>
    <row r="37" spans="2:17" ht="28.8" x14ac:dyDescent="0.3">
      <c r="B37">
        <v>33</v>
      </c>
      <c r="C37">
        <v>2017</v>
      </c>
      <c r="D37" t="s">
        <v>40</v>
      </c>
      <c r="E37" t="s">
        <v>53</v>
      </c>
      <c r="F37" t="s">
        <v>18</v>
      </c>
      <c r="G37" t="s">
        <v>19</v>
      </c>
      <c r="H37">
        <v>961</v>
      </c>
      <c r="I37">
        <v>14.23</v>
      </c>
      <c r="J37" t="s">
        <v>31</v>
      </c>
      <c r="K37" s="1">
        <v>1768738</v>
      </c>
      <c r="L37" s="2">
        <v>442</v>
      </c>
      <c r="M37" s="1">
        <f t="shared" si="0"/>
        <v>781782196</v>
      </c>
      <c r="N37" s="1">
        <f t="shared" si="1"/>
        <v>625425756.80000007</v>
      </c>
      <c r="O37" s="1">
        <f t="shared" si="2"/>
        <v>156356439.19999993</v>
      </c>
      <c r="P37" s="3" t="s">
        <v>63</v>
      </c>
      <c r="Q37" s="4">
        <v>4.4000000000000004</v>
      </c>
    </row>
    <row r="38" spans="2:17" ht="28.8" x14ac:dyDescent="0.3">
      <c r="B38">
        <v>34</v>
      </c>
      <c r="C38">
        <v>2017</v>
      </c>
      <c r="D38" t="s">
        <v>45</v>
      </c>
      <c r="E38" t="s">
        <v>72</v>
      </c>
      <c r="F38" t="s">
        <v>24</v>
      </c>
      <c r="G38" t="s">
        <v>25</v>
      </c>
      <c r="H38">
        <v>2690</v>
      </c>
      <c r="I38">
        <v>10.49</v>
      </c>
      <c r="J38" t="s">
        <v>31</v>
      </c>
      <c r="K38" s="1">
        <v>2211509</v>
      </c>
      <c r="L38" s="2">
        <v>4771</v>
      </c>
      <c r="M38" s="1">
        <f t="shared" si="0"/>
        <v>10551109439</v>
      </c>
      <c r="N38" s="1">
        <f t="shared" si="1"/>
        <v>8440887551.2000008</v>
      </c>
      <c r="O38" s="1">
        <f t="shared" si="2"/>
        <v>2110221887.7999992</v>
      </c>
      <c r="P38" s="3" t="s">
        <v>65</v>
      </c>
      <c r="Q38" s="4">
        <v>4.2</v>
      </c>
    </row>
    <row r="39" spans="2:17" ht="28.8" x14ac:dyDescent="0.3">
      <c r="B39">
        <v>35</v>
      </c>
      <c r="C39">
        <v>2017</v>
      </c>
      <c r="D39" t="s">
        <v>28</v>
      </c>
      <c r="E39" t="s">
        <v>68</v>
      </c>
      <c r="F39" t="s">
        <v>30</v>
      </c>
      <c r="G39" t="s">
        <v>19</v>
      </c>
      <c r="H39">
        <v>2233</v>
      </c>
      <c r="I39">
        <v>12.24</v>
      </c>
      <c r="J39" t="s">
        <v>42</v>
      </c>
      <c r="K39" s="1">
        <v>1233382</v>
      </c>
      <c r="L39" s="2">
        <v>1521</v>
      </c>
      <c r="M39" s="1">
        <f t="shared" si="0"/>
        <v>1875974022</v>
      </c>
      <c r="N39" s="1">
        <f t="shared" si="1"/>
        <v>1500779217.6000001</v>
      </c>
      <c r="O39" s="1">
        <f t="shared" si="2"/>
        <v>375194804.39999986</v>
      </c>
      <c r="P39" s="3" t="s">
        <v>66</v>
      </c>
      <c r="Q39" s="4">
        <v>4.0999999999999996</v>
      </c>
    </row>
    <row r="40" spans="2:17" ht="28.8" x14ac:dyDescent="0.3">
      <c r="B40">
        <v>36</v>
      </c>
      <c r="C40">
        <v>2017</v>
      </c>
      <c r="D40" t="s">
        <v>45</v>
      </c>
      <c r="E40" t="s">
        <v>46</v>
      </c>
      <c r="F40" t="s">
        <v>18</v>
      </c>
      <c r="G40" t="s">
        <v>25</v>
      </c>
      <c r="H40">
        <v>2884</v>
      </c>
      <c r="I40">
        <v>10.38</v>
      </c>
      <c r="J40" t="s">
        <v>34</v>
      </c>
      <c r="K40" s="1">
        <v>1234603</v>
      </c>
      <c r="L40" s="2">
        <v>1813</v>
      </c>
      <c r="M40" s="1">
        <f t="shared" si="0"/>
        <v>2238335239</v>
      </c>
      <c r="N40" s="1">
        <f t="shared" si="1"/>
        <v>1790668191.2</v>
      </c>
      <c r="O40" s="1">
        <f t="shared" si="2"/>
        <v>447667047.79999995</v>
      </c>
      <c r="P40" s="3" t="s">
        <v>21</v>
      </c>
      <c r="Q40" s="4">
        <v>4.7</v>
      </c>
    </row>
    <row r="41" spans="2:17" ht="28.8" x14ac:dyDescent="0.3">
      <c r="B41">
        <v>37</v>
      </c>
      <c r="C41">
        <v>2018</v>
      </c>
      <c r="D41" t="s">
        <v>22</v>
      </c>
      <c r="E41" t="s">
        <v>51</v>
      </c>
      <c r="F41" t="s">
        <v>24</v>
      </c>
      <c r="G41" t="s">
        <v>25</v>
      </c>
      <c r="H41">
        <v>1960</v>
      </c>
      <c r="I41">
        <v>17.350000000000001</v>
      </c>
      <c r="J41" t="s">
        <v>26</v>
      </c>
      <c r="K41" s="1">
        <v>1165507</v>
      </c>
      <c r="L41" s="2">
        <v>1526</v>
      </c>
      <c r="M41" s="1">
        <f t="shared" si="0"/>
        <v>1778563682</v>
      </c>
      <c r="N41" s="1">
        <f t="shared" si="1"/>
        <v>1422850945.6000001</v>
      </c>
      <c r="O41" s="1">
        <f t="shared" si="2"/>
        <v>355712736.39999986</v>
      </c>
      <c r="P41" s="3" t="s">
        <v>27</v>
      </c>
      <c r="Q41" s="4">
        <v>4.7</v>
      </c>
    </row>
    <row r="42" spans="2:17" ht="28.8" x14ac:dyDescent="0.3">
      <c r="B42">
        <v>38</v>
      </c>
      <c r="C42">
        <v>2018</v>
      </c>
      <c r="D42" t="s">
        <v>28</v>
      </c>
      <c r="E42" t="s">
        <v>29</v>
      </c>
      <c r="F42" t="s">
        <v>30</v>
      </c>
      <c r="G42" t="s">
        <v>19</v>
      </c>
      <c r="H42">
        <v>1889</v>
      </c>
      <c r="I42">
        <v>17.43</v>
      </c>
      <c r="J42" t="s">
        <v>34</v>
      </c>
      <c r="K42" s="1">
        <v>1088805</v>
      </c>
      <c r="L42" s="2">
        <v>4852</v>
      </c>
      <c r="M42" s="1">
        <f t="shared" si="0"/>
        <v>5282881860</v>
      </c>
      <c r="N42" s="1">
        <f t="shared" si="1"/>
        <v>4226305488</v>
      </c>
      <c r="O42" s="1">
        <f t="shared" si="2"/>
        <v>1056576372</v>
      </c>
      <c r="P42" s="3" t="s">
        <v>32</v>
      </c>
      <c r="Q42" s="4">
        <v>4.7</v>
      </c>
    </row>
    <row r="43" spans="2:17" x14ac:dyDescent="0.3">
      <c r="B43">
        <v>39</v>
      </c>
      <c r="C43">
        <v>2018</v>
      </c>
      <c r="D43" t="s">
        <v>22</v>
      </c>
      <c r="E43" t="s">
        <v>51</v>
      </c>
      <c r="F43" t="s">
        <v>30</v>
      </c>
      <c r="G43" t="s">
        <v>25</v>
      </c>
      <c r="H43">
        <v>1155</v>
      </c>
      <c r="I43">
        <v>17.03</v>
      </c>
      <c r="J43" t="s">
        <v>20</v>
      </c>
      <c r="K43" s="1">
        <v>859358</v>
      </c>
      <c r="L43" s="2">
        <v>2407</v>
      </c>
      <c r="M43" s="1">
        <f t="shared" si="0"/>
        <v>2068474706</v>
      </c>
      <c r="N43" s="1">
        <f t="shared" si="1"/>
        <v>1654779764.8000002</v>
      </c>
      <c r="O43" s="1">
        <f t="shared" si="2"/>
        <v>413694941.19999981</v>
      </c>
      <c r="P43" s="3" t="s">
        <v>35</v>
      </c>
      <c r="Q43" s="4">
        <v>4.8</v>
      </c>
    </row>
    <row r="44" spans="2:17" ht="28.8" x14ac:dyDescent="0.3">
      <c r="B44">
        <v>40</v>
      </c>
      <c r="C44">
        <v>2018</v>
      </c>
      <c r="D44" t="s">
        <v>45</v>
      </c>
      <c r="E44" t="s">
        <v>72</v>
      </c>
      <c r="F44" t="s">
        <v>30</v>
      </c>
      <c r="G44" t="s">
        <v>25</v>
      </c>
      <c r="H44">
        <v>2342</v>
      </c>
      <c r="I44">
        <v>18.899999999999999</v>
      </c>
      <c r="J44" t="s">
        <v>20</v>
      </c>
      <c r="K44" s="1">
        <v>587379</v>
      </c>
      <c r="L44" s="2">
        <v>2923</v>
      </c>
      <c r="M44" s="1">
        <f t="shared" si="0"/>
        <v>1716908817</v>
      </c>
      <c r="N44" s="1">
        <f t="shared" si="1"/>
        <v>1373527053.6000001</v>
      </c>
      <c r="O44" s="1">
        <f t="shared" si="2"/>
        <v>343381763.39999986</v>
      </c>
      <c r="P44" s="3" t="s">
        <v>38</v>
      </c>
      <c r="Q44" s="4">
        <v>4.9000000000000004</v>
      </c>
    </row>
    <row r="45" spans="2:17" ht="28.8" x14ac:dyDescent="0.3">
      <c r="B45">
        <v>41</v>
      </c>
      <c r="C45">
        <v>2018</v>
      </c>
      <c r="D45" t="s">
        <v>28</v>
      </c>
      <c r="E45" t="s">
        <v>29</v>
      </c>
      <c r="F45" t="s">
        <v>37</v>
      </c>
      <c r="G45" t="s">
        <v>19</v>
      </c>
      <c r="H45">
        <v>1225</v>
      </c>
      <c r="I45">
        <v>11.28</v>
      </c>
      <c r="J45" t="s">
        <v>31</v>
      </c>
      <c r="K45" s="1">
        <v>820388</v>
      </c>
      <c r="L45" s="2">
        <v>4921</v>
      </c>
      <c r="M45" s="1">
        <f t="shared" si="0"/>
        <v>4037129348</v>
      </c>
      <c r="N45" s="1">
        <f t="shared" si="1"/>
        <v>3229703478.4000001</v>
      </c>
      <c r="O45" s="1">
        <f t="shared" si="2"/>
        <v>807425869.5999999</v>
      </c>
      <c r="P45" s="3" t="s">
        <v>39</v>
      </c>
      <c r="Q45" s="4">
        <v>4.5999999999999996</v>
      </c>
    </row>
    <row r="46" spans="2:17" x14ac:dyDescent="0.3">
      <c r="B46">
        <v>42</v>
      </c>
      <c r="C46">
        <v>2018</v>
      </c>
      <c r="D46" t="s">
        <v>40</v>
      </c>
      <c r="E46" t="s">
        <v>71</v>
      </c>
      <c r="F46" t="s">
        <v>30</v>
      </c>
      <c r="G46" t="s">
        <v>25</v>
      </c>
      <c r="H46">
        <v>2224</v>
      </c>
      <c r="I46">
        <v>22.69</v>
      </c>
      <c r="J46" t="s">
        <v>42</v>
      </c>
      <c r="K46" s="1">
        <v>1909067</v>
      </c>
      <c r="L46" s="2">
        <v>3594</v>
      </c>
      <c r="M46" s="1">
        <f t="shared" si="0"/>
        <v>6861186798</v>
      </c>
      <c r="N46" s="1">
        <f t="shared" si="1"/>
        <v>5488949438.4000006</v>
      </c>
      <c r="O46" s="1">
        <f t="shared" si="2"/>
        <v>1372237359.5999994</v>
      </c>
      <c r="P46" s="3" t="s">
        <v>43</v>
      </c>
      <c r="Q46" s="4">
        <v>4.8</v>
      </c>
    </row>
    <row r="47" spans="2:17" ht="28.8" x14ac:dyDescent="0.3">
      <c r="B47">
        <v>43</v>
      </c>
      <c r="C47">
        <v>2018</v>
      </c>
      <c r="D47" t="s">
        <v>16</v>
      </c>
      <c r="E47" t="s">
        <v>33</v>
      </c>
      <c r="F47" t="s">
        <v>24</v>
      </c>
      <c r="G47" t="s">
        <v>25</v>
      </c>
      <c r="H47">
        <v>2472</v>
      </c>
      <c r="I47">
        <v>21.38</v>
      </c>
      <c r="J47" t="s">
        <v>26</v>
      </c>
      <c r="K47" s="1">
        <v>1469361</v>
      </c>
      <c r="L47" s="2">
        <v>1113</v>
      </c>
      <c r="M47" s="1">
        <f t="shared" si="0"/>
        <v>1635398793</v>
      </c>
      <c r="N47" s="1">
        <f t="shared" si="1"/>
        <v>1308319034.4000001</v>
      </c>
      <c r="O47" s="1">
        <f t="shared" si="2"/>
        <v>327079758.5999999</v>
      </c>
      <c r="P47" s="3" t="s">
        <v>44</v>
      </c>
      <c r="Q47" s="4">
        <v>4.7</v>
      </c>
    </row>
    <row r="48" spans="2:17" ht="28.8" x14ac:dyDescent="0.3">
      <c r="B48">
        <v>44</v>
      </c>
      <c r="C48">
        <v>2018</v>
      </c>
      <c r="D48" t="s">
        <v>45</v>
      </c>
      <c r="E48" t="s">
        <v>73</v>
      </c>
      <c r="F48" t="s">
        <v>18</v>
      </c>
      <c r="G48" t="s">
        <v>19</v>
      </c>
      <c r="H48">
        <v>2875</v>
      </c>
      <c r="I48">
        <v>12.47</v>
      </c>
      <c r="J48" t="s">
        <v>20</v>
      </c>
      <c r="K48" s="1">
        <v>1951782</v>
      </c>
      <c r="L48" s="2">
        <v>1683</v>
      </c>
      <c r="M48" s="1">
        <f t="shared" si="0"/>
        <v>3284849106</v>
      </c>
      <c r="N48" s="1">
        <f t="shared" si="1"/>
        <v>2627879284.8000002</v>
      </c>
      <c r="O48" s="1">
        <f t="shared" si="2"/>
        <v>656969821.19999981</v>
      </c>
      <c r="P48" s="3" t="s">
        <v>47</v>
      </c>
      <c r="Q48" s="4">
        <v>4.5999999999999996</v>
      </c>
    </row>
    <row r="49" spans="2:17" ht="28.8" x14ac:dyDescent="0.3">
      <c r="B49">
        <v>45</v>
      </c>
      <c r="C49">
        <v>2019</v>
      </c>
      <c r="D49" t="s">
        <v>45</v>
      </c>
      <c r="E49" t="s">
        <v>49</v>
      </c>
      <c r="F49" t="s">
        <v>24</v>
      </c>
      <c r="G49" t="s">
        <v>25</v>
      </c>
      <c r="H49">
        <v>1569</v>
      </c>
      <c r="I49">
        <v>22.45</v>
      </c>
      <c r="J49" t="s">
        <v>26</v>
      </c>
      <c r="K49" s="1">
        <v>1602802</v>
      </c>
      <c r="L49" s="2">
        <v>2555</v>
      </c>
      <c r="M49" s="1">
        <f t="shared" si="0"/>
        <v>4095159110</v>
      </c>
      <c r="N49" s="1">
        <f t="shared" si="1"/>
        <v>3276127288</v>
      </c>
      <c r="O49" s="1">
        <f t="shared" si="2"/>
        <v>819031822</v>
      </c>
      <c r="P49" s="3" t="s">
        <v>48</v>
      </c>
      <c r="Q49" s="4">
        <v>4.9000000000000004</v>
      </c>
    </row>
    <row r="50" spans="2:17" ht="28.8" x14ac:dyDescent="0.3">
      <c r="B50">
        <v>46</v>
      </c>
      <c r="C50">
        <v>2019</v>
      </c>
      <c r="D50" t="s">
        <v>16</v>
      </c>
      <c r="E50" t="s">
        <v>70</v>
      </c>
      <c r="F50" t="s">
        <v>37</v>
      </c>
      <c r="G50" t="s">
        <v>19</v>
      </c>
      <c r="H50">
        <v>1496</v>
      </c>
      <c r="I50">
        <v>14.66</v>
      </c>
      <c r="J50" t="s">
        <v>42</v>
      </c>
      <c r="K50" s="1">
        <v>1566031</v>
      </c>
      <c r="L50" s="2">
        <v>4830</v>
      </c>
      <c r="M50" s="1">
        <f t="shared" si="0"/>
        <v>7563929730</v>
      </c>
      <c r="N50" s="1">
        <f t="shared" si="1"/>
        <v>6051143784</v>
      </c>
      <c r="O50" s="1">
        <f t="shared" si="2"/>
        <v>1512785946</v>
      </c>
      <c r="P50" s="3" t="s">
        <v>50</v>
      </c>
      <c r="Q50" s="4">
        <v>4.5</v>
      </c>
    </row>
    <row r="51" spans="2:17" ht="28.8" x14ac:dyDescent="0.3">
      <c r="B51">
        <v>47</v>
      </c>
      <c r="C51">
        <v>2019</v>
      </c>
      <c r="D51" t="s">
        <v>28</v>
      </c>
      <c r="E51" t="s">
        <v>68</v>
      </c>
      <c r="F51" t="s">
        <v>18</v>
      </c>
      <c r="G51" t="s">
        <v>25</v>
      </c>
      <c r="H51">
        <v>2382</v>
      </c>
      <c r="I51">
        <v>15.51</v>
      </c>
      <c r="J51" t="s">
        <v>31</v>
      </c>
      <c r="K51" s="1">
        <v>893977</v>
      </c>
      <c r="L51" s="2">
        <v>1658</v>
      </c>
      <c r="M51" s="1">
        <f t="shared" si="0"/>
        <v>1482213866</v>
      </c>
      <c r="N51" s="1">
        <f t="shared" si="1"/>
        <v>1185771092.8</v>
      </c>
      <c r="O51" s="1">
        <f t="shared" si="2"/>
        <v>296442773.20000005</v>
      </c>
      <c r="P51" s="3" t="s">
        <v>52</v>
      </c>
      <c r="Q51" s="4">
        <v>4.0999999999999996</v>
      </c>
    </row>
    <row r="52" spans="2:17" ht="28.8" x14ac:dyDescent="0.3">
      <c r="B52">
        <v>48</v>
      </c>
      <c r="C52">
        <v>2019</v>
      </c>
      <c r="D52" t="s">
        <v>28</v>
      </c>
      <c r="E52" t="s">
        <v>60</v>
      </c>
      <c r="F52" t="s">
        <v>37</v>
      </c>
      <c r="G52" t="s">
        <v>19</v>
      </c>
      <c r="H52">
        <v>2619</v>
      </c>
      <c r="I52">
        <v>14.52</v>
      </c>
      <c r="J52" t="s">
        <v>20</v>
      </c>
      <c r="K52" s="1">
        <v>528652</v>
      </c>
      <c r="L52" s="2">
        <v>4861</v>
      </c>
      <c r="M52" s="1">
        <f t="shared" si="0"/>
        <v>2569777372</v>
      </c>
      <c r="N52" s="1">
        <f t="shared" si="1"/>
        <v>2055821897.6000001</v>
      </c>
      <c r="O52" s="1">
        <f t="shared" si="2"/>
        <v>513955474.39999986</v>
      </c>
      <c r="P52" s="3" t="s">
        <v>54</v>
      </c>
      <c r="Q52" s="4">
        <v>4.3</v>
      </c>
    </row>
    <row r="53" spans="2:17" x14ac:dyDescent="0.3">
      <c r="B53">
        <v>49</v>
      </c>
      <c r="C53">
        <v>2019</v>
      </c>
      <c r="D53" t="s">
        <v>16</v>
      </c>
      <c r="E53" t="s">
        <v>33</v>
      </c>
      <c r="F53" t="s">
        <v>24</v>
      </c>
      <c r="G53" t="s">
        <v>19</v>
      </c>
      <c r="H53">
        <v>924</v>
      </c>
      <c r="I53">
        <v>12.21</v>
      </c>
      <c r="J53" t="s">
        <v>42</v>
      </c>
      <c r="K53" s="1">
        <v>2189641</v>
      </c>
      <c r="L53" s="2">
        <v>4293</v>
      </c>
      <c r="M53" s="1">
        <f t="shared" si="0"/>
        <v>9400128813</v>
      </c>
      <c r="N53" s="1">
        <f t="shared" si="1"/>
        <v>7520103050.4000006</v>
      </c>
      <c r="O53" s="1">
        <f t="shared" si="2"/>
        <v>1880025762.5999994</v>
      </c>
      <c r="P53" s="3" t="s">
        <v>56</v>
      </c>
      <c r="Q53" s="4">
        <v>4.4000000000000004</v>
      </c>
    </row>
    <row r="54" spans="2:17" x14ac:dyDescent="0.3">
      <c r="B54">
        <v>50</v>
      </c>
      <c r="C54">
        <v>2020</v>
      </c>
      <c r="D54" t="s">
        <v>40</v>
      </c>
      <c r="E54" t="s">
        <v>53</v>
      </c>
      <c r="F54" t="s">
        <v>37</v>
      </c>
      <c r="G54" t="s">
        <v>25</v>
      </c>
      <c r="H54">
        <v>2673</v>
      </c>
      <c r="I54">
        <v>16.850000000000001</v>
      </c>
      <c r="J54" t="s">
        <v>42</v>
      </c>
      <c r="K54" s="1">
        <v>1335591</v>
      </c>
      <c r="L54" s="2">
        <v>72</v>
      </c>
      <c r="M54" s="1">
        <f t="shared" si="0"/>
        <v>96162552</v>
      </c>
      <c r="N54" s="1">
        <f t="shared" si="1"/>
        <v>76930041.600000009</v>
      </c>
      <c r="O54" s="1">
        <f t="shared" si="2"/>
        <v>19232510.399999991</v>
      </c>
      <c r="P54" s="3" t="s">
        <v>57</v>
      </c>
      <c r="Q54" s="4">
        <v>4.5</v>
      </c>
    </row>
    <row r="55" spans="2:17" x14ac:dyDescent="0.3">
      <c r="B55">
        <v>51</v>
      </c>
      <c r="C55">
        <v>2020</v>
      </c>
      <c r="D55" t="s">
        <v>22</v>
      </c>
      <c r="E55" t="s">
        <v>55</v>
      </c>
      <c r="F55" t="s">
        <v>18</v>
      </c>
      <c r="G55" t="s">
        <v>25</v>
      </c>
      <c r="H55">
        <v>1398</v>
      </c>
      <c r="I55">
        <v>19.309999999999999</v>
      </c>
      <c r="J55" t="s">
        <v>34</v>
      </c>
      <c r="K55" s="1">
        <v>2702025</v>
      </c>
      <c r="L55" s="2">
        <v>3285</v>
      </c>
      <c r="M55" s="1">
        <f t="shared" si="0"/>
        <v>8876152125</v>
      </c>
      <c r="N55" s="1">
        <f t="shared" si="1"/>
        <v>7100921700</v>
      </c>
      <c r="O55" s="1">
        <f t="shared" si="2"/>
        <v>1775230425</v>
      </c>
      <c r="P55" s="3" t="s">
        <v>58</v>
      </c>
      <c r="Q55" s="4">
        <v>4.5999999999999996</v>
      </c>
    </row>
    <row r="56" spans="2:17" ht="28.8" x14ac:dyDescent="0.3">
      <c r="B56">
        <v>52</v>
      </c>
      <c r="C56">
        <v>2020</v>
      </c>
      <c r="D56" t="s">
        <v>22</v>
      </c>
      <c r="E56" t="s">
        <v>23</v>
      </c>
      <c r="F56" t="s">
        <v>37</v>
      </c>
      <c r="G56" t="s">
        <v>19</v>
      </c>
      <c r="H56">
        <v>1524</v>
      </c>
      <c r="I56">
        <v>17.54</v>
      </c>
      <c r="J56" t="s">
        <v>34</v>
      </c>
      <c r="K56" s="1">
        <v>964615</v>
      </c>
      <c r="L56" s="2">
        <v>3733</v>
      </c>
      <c r="M56" s="1">
        <f t="shared" si="0"/>
        <v>3600907795</v>
      </c>
      <c r="N56" s="1">
        <f t="shared" si="1"/>
        <v>2880726236</v>
      </c>
      <c r="O56" s="1">
        <f t="shared" si="2"/>
        <v>720181559</v>
      </c>
      <c r="P56" s="3" t="s">
        <v>59</v>
      </c>
      <c r="Q56" s="4">
        <v>4.4000000000000004</v>
      </c>
    </row>
    <row r="57" spans="2:17" ht="28.8" x14ac:dyDescent="0.3">
      <c r="B57">
        <v>53</v>
      </c>
      <c r="C57">
        <v>2020</v>
      </c>
      <c r="D57" t="s">
        <v>16</v>
      </c>
      <c r="E57" t="s">
        <v>17</v>
      </c>
      <c r="F57" t="s">
        <v>37</v>
      </c>
      <c r="G57" t="s">
        <v>25</v>
      </c>
      <c r="H57">
        <v>1756</v>
      </c>
      <c r="I57">
        <v>18.21</v>
      </c>
      <c r="J57" t="s">
        <v>20</v>
      </c>
      <c r="K57" s="1">
        <v>2697923</v>
      </c>
      <c r="L57" s="2">
        <v>4155</v>
      </c>
      <c r="M57" s="1">
        <f t="shared" si="0"/>
        <v>11209870065</v>
      </c>
      <c r="N57" s="1">
        <f t="shared" si="1"/>
        <v>8967896052</v>
      </c>
      <c r="O57" s="1">
        <f t="shared" si="2"/>
        <v>2241974013</v>
      </c>
      <c r="P57" s="3" t="s">
        <v>61</v>
      </c>
      <c r="Q57" s="4">
        <v>4.2</v>
      </c>
    </row>
    <row r="58" spans="2:17" ht="28.8" x14ac:dyDescent="0.3">
      <c r="B58">
        <v>54</v>
      </c>
      <c r="C58">
        <v>2020</v>
      </c>
      <c r="D58" t="s">
        <v>22</v>
      </c>
      <c r="E58" t="s">
        <v>23</v>
      </c>
      <c r="F58" t="s">
        <v>37</v>
      </c>
      <c r="G58" t="s">
        <v>25</v>
      </c>
      <c r="H58">
        <v>1743</v>
      </c>
      <c r="I58">
        <v>23.44</v>
      </c>
      <c r="J58" t="s">
        <v>34</v>
      </c>
      <c r="K58" s="1">
        <v>2464423</v>
      </c>
      <c r="L58" s="2">
        <v>235</v>
      </c>
      <c r="M58" s="1">
        <f t="shared" si="0"/>
        <v>579139405</v>
      </c>
      <c r="N58" s="1">
        <f t="shared" si="1"/>
        <v>463311524</v>
      </c>
      <c r="O58" s="1">
        <f t="shared" si="2"/>
        <v>115827881</v>
      </c>
      <c r="P58" s="3" t="s">
        <v>62</v>
      </c>
      <c r="Q58" s="4">
        <v>4.0999999999999996</v>
      </c>
    </row>
    <row r="59" spans="2:17" ht="28.8" x14ac:dyDescent="0.3">
      <c r="B59">
        <v>55</v>
      </c>
      <c r="C59">
        <v>2020</v>
      </c>
      <c r="D59" t="s">
        <v>45</v>
      </c>
      <c r="E59" t="s">
        <v>72</v>
      </c>
      <c r="F59" t="s">
        <v>37</v>
      </c>
      <c r="G59" t="s">
        <v>19</v>
      </c>
      <c r="H59">
        <v>953</v>
      </c>
      <c r="I59">
        <v>23.93</v>
      </c>
      <c r="J59" t="s">
        <v>26</v>
      </c>
      <c r="K59" s="1">
        <v>1253575</v>
      </c>
      <c r="L59" s="2">
        <v>2456</v>
      </c>
      <c r="M59" s="1">
        <f t="shared" si="0"/>
        <v>3078780200</v>
      </c>
      <c r="N59" s="1">
        <f t="shared" si="1"/>
        <v>2463024160</v>
      </c>
      <c r="O59" s="1">
        <f t="shared" si="2"/>
        <v>615756040</v>
      </c>
      <c r="P59" s="3" t="s">
        <v>63</v>
      </c>
      <c r="Q59" s="4">
        <v>4.7</v>
      </c>
    </row>
    <row r="60" spans="2:17" ht="28.8" x14ac:dyDescent="0.3">
      <c r="B60">
        <v>56</v>
      </c>
      <c r="C60">
        <v>2021</v>
      </c>
      <c r="D60" t="s">
        <v>45</v>
      </c>
      <c r="E60" t="s">
        <v>49</v>
      </c>
      <c r="F60" t="s">
        <v>30</v>
      </c>
      <c r="G60" t="s">
        <v>25</v>
      </c>
      <c r="H60">
        <v>825</v>
      </c>
      <c r="I60">
        <v>18.13</v>
      </c>
      <c r="J60" t="s">
        <v>31</v>
      </c>
      <c r="K60" s="1">
        <v>2751430</v>
      </c>
      <c r="L60" s="2">
        <v>4111</v>
      </c>
      <c r="M60" s="1">
        <f t="shared" si="0"/>
        <v>11311128730</v>
      </c>
      <c r="N60" s="1">
        <f t="shared" si="1"/>
        <v>9048902984</v>
      </c>
      <c r="O60" s="1">
        <f t="shared" si="2"/>
        <v>2262225746</v>
      </c>
      <c r="P60" s="3" t="s">
        <v>65</v>
      </c>
      <c r="Q60" s="4">
        <v>4.7</v>
      </c>
    </row>
    <row r="61" spans="2:17" ht="28.8" x14ac:dyDescent="0.3">
      <c r="B61">
        <v>57</v>
      </c>
      <c r="C61">
        <v>2021</v>
      </c>
      <c r="D61" t="s">
        <v>28</v>
      </c>
      <c r="E61" t="s">
        <v>60</v>
      </c>
      <c r="F61" t="s">
        <v>18</v>
      </c>
      <c r="G61" t="s">
        <v>19</v>
      </c>
      <c r="H61">
        <v>2453</v>
      </c>
      <c r="I61">
        <v>21.27</v>
      </c>
      <c r="J61" t="s">
        <v>34</v>
      </c>
      <c r="K61" s="1">
        <v>805916</v>
      </c>
      <c r="L61" s="2">
        <v>4434</v>
      </c>
      <c r="M61" s="1">
        <f t="shared" si="0"/>
        <v>3573431544</v>
      </c>
      <c r="N61" s="1">
        <f t="shared" si="1"/>
        <v>2858745235.2000003</v>
      </c>
      <c r="O61" s="1">
        <f t="shared" si="2"/>
        <v>714686308.79999971</v>
      </c>
      <c r="P61" s="3" t="s">
        <v>66</v>
      </c>
      <c r="Q61" s="4">
        <v>4.7</v>
      </c>
    </row>
    <row r="62" spans="2:17" ht="28.8" x14ac:dyDescent="0.3">
      <c r="B62">
        <v>58</v>
      </c>
      <c r="C62">
        <v>2021</v>
      </c>
      <c r="D62" t="s">
        <v>45</v>
      </c>
      <c r="E62" t="s">
        <v>49</v>
      </c>
      <c r="F62" t="s">
        <v>18</v>
      </c>
      <c r="G62" t="s">
        <v>25</v>
      </c>
      <c r="H62">
        <v>913</v>
      </c>
      <c r="I62">
        <v>21.13</v>
      </c>
      <c r="J62" t="s">
        <v>34</v>
      </c>
      <c r="K62" s="1">
        <v>1024551</v>
      </c>
      <c r="L62" s="2">
        <v>1968</v>
      </c>
      <c r="M62" s="1">
        <f t="shared" si="0"/>
        <v>2016316368</v>
      </c>
      <c r="N62" s="1">
        <f t="shared" si="1"/>
        <v>1613053094.4000001</v>
      </c>
      <c r="O62" s="1">
        <f t="shared" si="2"/>
        <v>403263273.5999999</v>
      </c>
      <c r="P62" s="3" t="s">
        <v>67</v>
      </c>
      <c r="Q62" s="4">
        <v>4.8</v>
      </c>
    </row>
    <row r="63" spans="2:17" x14ac:dyDescent="0.3">
      <c r="B63">
        <v>59</v>
      </c>
      <c r="C63">
        <v>2021</v>
      </c>
      <c r="D63" t="s">
        <v>16</v>
      </c>
      <c r="E63" t="s">
        <v>33</v>
      </c>
      <c r="F63" t="s">
        <v>30</v>
      </c>
      <c r="G63" t="s">
        <v>25</v>
      </c>
      <c r="H63">
        <v>1588</v>
      </c>
      <c r="I63">
        <v>14.3</v>
      </c>
      <c r="J63" t="s">
        <v>26</v>
      </c>
      <c r="K63" s="1">
        <v>2623586</v>
      </c>
      <c r="L63" s="2">
        <v>1208</v>
      </c>
      <c r="M63" s="1">
        <f t="shared" si="0"/>
        <v>3169291888</v>
      </c>
      <c r="N63" s="1">
        <f t="shared" si="1"/>
        <v>2535433510.4000001</v>
      </c>
      <c r="O63" s="1">
        <f t="shared" si="2"/>
        <v>633858377.5999999</v>
      </c>
      <c r="P63" s="3" t="s">
        <v>69</v>
      </c>
      <c r="Q63" s="4">
        <v>4.9000000000000004</v>
      </c>
    </row>
    <row r="64" spans="2:17" ht="28.8" x14ac:dyDescent="0.3">
      <c r="B64">
        <v>60</v>
      </c>
      <c r="C64">
        <v>2021</v>
      </c>
      <c r="D64" t="s">
        <v>16</v>
      </c>
      <c r="E64" t="s">
        <v>17</v>
      </c>
      <c r="F64" t="s">
        <v>18</v>
      </c>
      <c r="G64" t="s">
        <v>25</v>
      </c>
      <c r="H64">
        <v>2028</v>
      </c>
      <c r="I64">
        <v>12.86</v>
      </c>
      <c r="J64" t="s">
        <v>34</v>
      </c>
      <c r="K64" s="1">
        <v>887855</v>
      </c>
      <c r="L64" s="2">
        <v>4430</v>
      </c>
      <c r="M64" s="1">
        <f t="shared" si="0"/>
        <v>3933197650</v>
      </c>
      <c r="N64" s="1">
        <f t="shared" si="1"/>
        <v>3146558120</v>
      </c>
      <c r="O64" s="1">
        <f t="shared" si="2"/>
        <v>786639530</v>
      </c>
      <c r="P64" s="3" t="s">
        <v>52</v>
      </c>
      <c r="Q64" s="4">
        <v>4.5999999999999996</v>
      </c>
    </row>
    <row r="65" spans="2:17" ht="28.8" x14ac:dyDescent="0.3">
      <c r="B65">
        <v>61</v>
      </c>
      <c r="C65">
        <v>2021</v>
      </c>
      <c r="D65" t="s">
        <v>28</v>
      </c>
      <c r="E65" t="s">
        <v>68</v>
      </c>
      <c r="F65" t="s">
        <v>30</v>
      </c>
      <c r="G65" t="s">
        <v>25</v>
      </c>
      <c r="H65">
        <v>2449</v>
      </c>
      <c r="I65">
        <v>16.88</v>
      </c>
      <c r="J65" t="s">
        <v>42</v>
      </c>
      <c r="K65" s="1">
        <v>2629471</v>
      </c>
      <c r="L65" s="2">
        <v>3776</v>
      </c>
      <c r="M65" s="1">
        <f t="shared" si="0"/>
        <v>9928882496</v>
      </c>
      <c r="N65" s="1">
        <f t="shared" si="1"/>
        <v>7943105996.8000002</v>
      </c>
      <c r="O65" s="1">
        <f t="shared" si="2"/>
        <v>1985776499.1999998</v>
      </c>
      <c r="P65" s="3" t="s">
        <v>54</v>
      </c>
      <c r="Q65" s="4">
        <v>4.8</v>
      </c>
    </row>
    <row r="66" spans="2:17" x14ac:dyDescent="0.3">
      <c r="B66">
        <v>62</v>
      </c>
      <c r="C66">
        <v>2021</v>
      </c>
      <c r="D66" t="s">
        <v>16</v>
      </c>
      <c r="E66" t="s">
        <v>70</v>
      </c>
      <c r="F66" t="s">
        <v>37</v>
      </c>
      <c r="G66" t="s">
        <v>19</v>
      </c>
      <c r="H66">
        <v>2698</v>
      </c>
      <c r="I66">
        <v>24.82</v>
      </c>
      <c r="J66" t="s">
        <v>20</v>
      </c>
      <c r="K66" s="1">
        <v>887165</v>
      </c>
      <c r="L66" s="2">
        <v>3290</v>
      </c>
      <c r="M66" s="1">
        <f t="shared" si="0"/>
        <v>2918772850</v>
      </c>
      <c r="N66" s="1">
        <f t="shared" si="1"/>
        <v>2335018280</v>
      </c>
      <c r="O66" s="1">
        <f t="shared" si="2"/>
        <v>583754570</v>
      </c>
      <c r="P66" s="3" t="s">
        <v>56</v>
      </c>
      <c r="Q66" s="4">
        <v>4.7</v>
      </c>
    </row>
    <row r="67" spans="2:17" x14ac:dyDescent="0.3">
      <c r="B67">
        <v>63</v>
      </c>
      <c r="C67">
        <v>2021</v>
      </c>
      <c r="D67" t="s">
        <v>28</v>
      </c>
      <c r="E67" t="s">
        <v>74</v>
      </c>
      <c r="F67" t="s">
        <v>24</v>
      </c>
      <c r="G67" t="s">
        <v>19</v>
      </c>
      <c r="H67">
        <v>992</v>
      </c>
      <c r="I67">
        <v>10.119999999999999</v>
      </c>
      <c r="J67" t="s">
        <v>26</v>
      </c>
      <c r="K67" s="1">
        <v>2726426</v>
      </c>
      <c r="L67" s="2">
        <v>117</v>
      </c>
      <c r="M67" s="1">
        <f t="shared" si="0"/>
        <v>318991842</v>
      </c>
      <c r="N67" s="1">
        <f t="shared" si="1"/>
        <v>255193473.60000002</v>
      </c>
      <c r="O67" s="1">
        <f t="shared" si="2"/>
        <v>63798368.399999976</v>
      </c>
      <c r="P67" s="3" t="s">
        <v>57</v>
      </c>
      <c r="Q67" s="4">
        <v>4.5999999999999996</v>
      </c>
    </row>
    <row r="68" spans="2:17" x14ac:dyDescent="0.3">
      <c r="B68">
        <v>64</v>
      </c>
      <c r="C68">
        <v>2022</v>
      </c>
      <c r="D68" t="s">
        <v>22</v>
      </c>
      <c r="E68" t="s">
        <v>36</v>
      </c>
      <c r="F68" t="s">
        <v>18</v>
      </c>
      <c r="G68" t="s">
        <v>19</v>
      </c>
      <c r="H68">
        <v>2349</v>
      </c>
      <c r="I68">
        <v>23.64</v>
      </c>
      <c r="J68" t="s">
        <v>31</v>
      </c>
      <c r="K68" s="1">
        <v>1057635</v>
      </c>
      <c r="L68" s="2">
        <v>4624</v>
      </c>
      <c r="M68" s="1">
        <f t="shared" si="0"/>
        <v>4890504240</v>
      </c>
      <c r="N68" s="1">
        <f t="shared" si="1"/>
        <v>3912403392</v>
      </c>
      <c r="O68" s="1">
        <f t="shared" si="2"/>
        <v>978100848</v>
      </c>
      <c r="P68" s="3" t="s">
        <v>58</v>
      </c>
      <c r="Q68" s="4">
        <v>4.9000000000000004</v>
      </c>
    </row>
    <row r="69" spans="2:17" ht="28.8" x14ac:dyDescent="0.3">
      <c r="B69">
        <v>65</v>
      </c>
      <c r="C69">
        <v>2022</v>
      </c>
      <c r="D69" t="s">
        <v>16</v>
      </c>
      <c r="E69" t="s">
        <v>70</v>
      </c>
      <c r="F69" t="s">
        <v>30</v>
      </c>
      <c r="G69" t="s">
        <v>19</v>
      </c>
      <c r="H69">
        <v>2654</v>
      </c>
      <c r="I69">
        <v>22.4</v>
      </c>
      <c r="J69" t="s">
        <v>26</v>
      </c>
      <c r="K69" s="1">
        <v>2625059</v>
      </c>
      <c r="L69" s="2">
        <v>1024</v>
      </c>
      <c r="M69" s="1">
        <f t="shared" si="0"/>
        <v>2688060416</v>
      </c>
      <c r="N69" s="1">
        <f t="shared" si="1"/>
        <v>2150448332.8000002</v>
      </c>
      <c r="O69" s="1">
        <f t="shared" si="2"/>
        <v>537612083.19999981</v>
      </c>
      <c r="P69" s="3" t="s">
        <v>59</v>
      </c>
      <c r="Q69" s="4">
        <v>4.5</v>
      </c>
    </row>
    <row r="70" spans="2:17" ht="28.8" x14ac:dyDescent="0.3">
      <c r="B70">
        <v>66</v>
      </c>
      <c r="C70">
        <v>2022</v>
      </c>
      <c r="D70" t="s">
        <v>45</v>
      </c>
      <c r="E70" t="s">
        <v>73</v>
      </c>
      <c r="F70" t="s">
        <v>30</v>
      </c>
      <c r="G70" t="s">
        <v>19</v>
      </c>
      <c r="H70">
        <v>967</v>
      </c>
      <c r="I70">
        <v>12.71</v>
      </c>
      <c r="J70" t="s">
        <v>34</v>
      </c>
      <c r="K70" s="1">
        <v>1986573</v>
      </c>
      <c r="L70" s="2">
        <v>4929</v>
      </c>
      <c r="M70" s="1">
        <f t="shared" ref="M70:M104" si="3">K70*L70</f>
        <v>9791818317</v>
      </c>
      <c r="N70" s="1">
        <f t="shared" ref="N70:N104" si="4">M70*0.8</f>
        <v>7833454653.6000004</v>
      </c>
      <c r="O70" s="1">
        <f t="shared" ref="O70:O104" si="5">M70-N70</f>
        <v>1958363663.3999996</v>
      </c>
      <c r="P70" s="3" t="s">
        <v>61</v>
      </c>
      <c r="Q70" s="4">
        <v>4.0999999999999996</v>
      </c>
    </row>
    <row r="71" spans="2:17" ht="28.8" x14ac:dyDescent="0.3">
      <c r="B71">
        <v>67</v>
      </c>
      <c r="C71">
        <v>2022</v>
      </c>
      <c r="D71" t="s">
        <v>28</v>
      </c>
      <c r="E71" t="s">
        <v>74</v>
      </c>
      <c r="F71" t="s">
        <v>24</v>
      </c>
      <c r="G71" t="s">
        <v>19</v>
      </c>
      <c r="H71">
        <v>911</v>
      </c>
      <c r="I71">
        <v>11.13</v>
      </c>
      <c r="J71" t="s">
        <v>20</v>
      </c>
      <c r="K71" s="1">
        <v>601476</v>
      </c>
      <c r="L71" s="2">
        <v>1181</v>
      </c>
      <c r="M71" s="1">
        <f t="shared" si="3"/>
        <v>710343156</v>
      </c>
      <c r="N71" s="1">
        <f t="shared" si="4"/>
        <v>568274524.80000007</v>
      </c>
      <c r="O71" s="1">
        <f t="shared" si="5"/>
        <v>142068631.19999993</v>
      </c>
      <c r="P71" s="3" t="s">
        <v>62</v>
      </c>
      <c r="Q71" s="4">
        <v>4.3</v>
      </c>
    </row>
    <row r="72" spans="2:17" ht="28.8" x14ac:dyDescent="0.3">
      <c r="B72">
        <v>68</v>
      </c>
      <c r="C72">
        <v>2022</v>
      </c>
      <c r="D72" t="s">
        <v>40</v>
      </c>
      <c r="E72" t="s">
        <v>53</v>
      </c>
      <c r="F72" t="s">
        <v>24</v>
      </c>
      <c r="G72" t="s">
        <v>25</v>
      </c>
      <c r="H72">
        <v>2007</v>
      </c>
      <c r="I72">
        <v>14.08</v>
      </c>
      <c r="J72" t="s">
        <v>26</v>
      </c>
      <c r="K72" s="1">
        <v>907747</v>
      </c>
      <c r="L72" s="2">
        <v>2873</v>
      </c>
      <c r="M72" s="1">
        <f t="shared" si="3"/>
        <v>2607957131</v>
      </c>
      <c r="N72" s="1">
        <f t="shared" si="4"/>
        <v>2086365704.8000002</v>
      </c>
      <c r="O72" s="1">
        <f t="shared" si="5"/>
        <v>521591426.19999981</v>
      </c>
      <c r="P72" s="3" t="s">
        <v>63</v>
      </c>
      <c r="Q72" s="4">
        <v>4.4000000000000004</v>
      </c>
    </row>
    <row r="73" spans="2:17" ht="28.8" x14ac:dyDescent="0.3">
      <c r="B73">
        <v>69</v>
      </c>
      <c r="C73">
        <v>2022</v>
      </c>
      <c r="D73" t="s">
        <v>28</v>
      </c>
      <c r="E73" t="s">
        <v>60</v>
      </c>
      <c r="F73" t="s">
        <v>24</v>
      </c>
      <c r="G73" t="s">
        <v>19</v>
      </c>
      <c r="H73">
        <v>1867</v>
      </c>
      <c r="I73">
        <v>22.63</v>
      </c>
      <c r="J73" t="s">
        <v>31</v>
      </c>
      <c r="K73" s="1">
        <v>1012342</v>
      </c>
      <c r="L73" s="2">
        <v>606</v>
      </c>
      <c r="M73" s="1">
        <f t="shared" si="3"/>
        <v>613479252</v>
      </c>
      <c r="N73" s="1">
        <f t="shared" si="4"/>
        <v>490783401.60000002</v>
      </c>
      <c r="O73" s="1">
        <f t="shared" si="5"/>
        <v>122695850.39999998</v>
      </c>
      <c r="P73" s="3" t="s">
        <v>65</v>
      </c>
      <c r="Q73" s="4">
        <v>4.5</v>
      </c>
    </row>
    <row r="74" spans="2:17" ht="28.8" x14ac:dyDescent="0.3">
      <c r="B74">
        <v>70</v>
      </c>
      <c r="C74">
        <v>2022</v>
      </c>
      <c r="D74" t="s">
        <v>45</v>
      </c>
      <c r="E74" t="s">
        <v>49</v>
      </c>
      <c r="F74" t="s">
        <v>24</v>
      </c>
      <c r="G74" t="s">
        <v>19</v>
      </c>
      <c r="H74">
        <v>981</v>
      </c>
      <c r="I74">
        <v>23.24</v>
      </c>
      <c r="J74" t="s">
        <v>31</v>
      </c>
      <c r="K74" s="1">
        <v>2768394</v>
      </c>
      <c r="L74" s="2">
        <v>158</v>
      </c>
      <c r="M74" s="1">
        <f t="shared" si="3"/>
        <v>437406252</v>
      </c>
      <c r="N74" s="1">
        <f t="shared" si="4"/>
        <v>349925001.60000002</v>
      </c>
      <c r="O74" s="1">
        <f t="shared" si="5"/>
        <v>87481250.399999976</v>
      </c>
      <c r="P74" s="3" t="s">
        <v>66</v>
      </c>
      <c r="Q74" s="4">
        <v>4.5999999999999996</v>
      </c>
    </row>
    <row r="75" spans="2:17" ht="28.8" x14ac:dyDescent="0.3">
      <c r="B75">
        <v>71</v>
      </c>
      <c r="C75">
        <v>2022</v>
      </c>
      <c r="D75" t="s">
        <v>16</v>
      </c>
      <c r="E75" t="s">
        <v>64</v>
      </c>
      <c r="F75" t="s">
        <v>30</v>
      </c>
      <c r="G75" t="s">
        <v>19</v>
      </c>
      <c r="H75">
        <v>987</v>
      </c>
      <c r="I75">
        <v>21.31</v>
      </c>
      <c r="J75" t="s">
        <v>20</v>
      </c>
      <c r="K75" s="1">
        <v>1756766</v>
      </c>
      <c r="L75" s="2">
        <v>1952</v>
      </c>
      <c r="M75" s="1">
        <f t="shared" si="3"/>
        <v>3429207232</v>
      </c>
      <c r="N75" s="1">
        <f t="shared" si="4"/>
        <v>2743365785.6000004</v>
      </c>
      <c r="O75" s="1">
        <f t="shared" si="5"/>
        <v>685841446.39999962</v>
      </c>
      <c r="P75" s="3" t="s">
        <v>21</v>
      </c>
      <c r="Q75" s="4">
        <v>4.4000000000000004</v>
      </c>
    </row>
    <row r="76" spans="2:17" ht="28.8" x14ac:dyDescent="0.3">
      <c r="B76">
        <v>72</v>
      </c>
      <c r="C76">
        <v>2022</v>
      </c>
      <c r="D76" t="s">
        <v>28</v>
      </c>
      <c r="E76" t="s">
        <v>68</v>
      </c>
      <c r="F76" t="s">
        <v>18</v>
      </c>
      <c r="G76" t="s">
        <v>19</v>
      </c>
      <c r="H76">
        <v>2550</v>
      </c>
      <c r="I76">
        <v>10.46</v>
      </c>
      <c r="J76" t="s">
        <v>42</v>
      </c>
      <c r="K76" s="1">
        <v>642927</v>
      </c>
      <c r="L76" s="2">
        <v>255</v>
      </c>
      <c r="M76" s="1">
        <f t="shared" si="3"/>
        <v>163946385</v>
      </c>
      <c r="N76" s="1">
        <f t="shared" si="4"/>
        <v>131157108</v>
      </c>
      <c r="O76" s="1">
        <f t="shared" si="5"/>
        <v>32789277</v>
      </c>
      <c r="P76" s="3" t="s">
        <v>27</v>
      </c>
      <c r="Q76" s="4">
        <v>4.2</v>
      </c>
    </row>
    <row r="77" spans="2:17" ht="28.8" x14ac:dyDescent="0.3">
      <c r="B77">
        <v>73</v>
      </c>
      <c r="C77">
        <v>2022</v>
      </c>
      <c r="D77" t="s">
        <v>45</v>
      </c>
      <c r="E77" t="s">
        <v>49</v>
      </c>
      <c r="F77" t="s">
        <v>24</v>
      </c>
      <c r="G77" t="s">
        <v>19</v>
      </c>
      <c r="H77">
        <v>1251</v>
      </c>
      <c r="I77">
        <v>16.88</v>
      </c>
      <c r="J77" t="s">
        <v>42</v>
      </c>
      <c r="K77" s="1">
        <v>698417</v>
      </c>
      <c r="L77" s="2">
        <v>3531</v>
      </c>
      <c r="M77" s="1">
        <f t="shared" si="3"/>
        <v>2466110427</v>
      </c>
      <c r="N77" s="1">
        <f t="shared" si="4"/>
        <v>1972888341.6000001</v>
      </c>
      <c r="O77" s="1">
        <f t="shared" si="5"/>
        <v>493222085.39999986</v>
      </c>
      <c r="P77" s="3" t="s">
        <v>32</v>
      </c>
      <c r="Q77" s="4">
        <v>4.0999999999999996</v>
      </c>
    </row>
    <row r="78" spans="2:17" x14ac:dyDescent="0.3">
      <c r="B78">
        <v>74</v>
      </c>
      <c r="C78">
        <v>2022</v>
      </c>
      <c r="D78" t="s">
        <v>16</v>
      </c>
      <c r="E78" t="s">
        <v>64</v>
      </c>
      <c r="F78" t="s">
        <v>18</v>
      </c>
      <c r="G78" t="s">
        <v>25</v>
      </c>
      <c r="H78">
        <v>1498</v>
      </c>
      <c r="I78">
        <v>24.01</v>
      </c>
      <c r="J78" t="s">
        <v>31</v>
      </c>
      <c r="K78" s="1">
        <v>797005</v>
      </c>
      <c r="L78" s="2">
        <v>2934</v>
      </c>
      <c r="M78" s="1">
        <f t="shared" si="3"/>
        <v>2338412670</v>
      </c>
      <c r="N78" s="1">
        <f t="shared" si="4"/>
        <v>1870730136</v>
      </c>
      <c r="O78" s="1">
        <f t="shared" si="5"/>
        <v>467682534</v>
      </c>
      <c r="P78" s="3" t="s">
        <v>35</v>
      </c>
      <c r="Q78" s="4">
        <v>4.7</v>
      </c>
    </row>
    <row r="79" spans="2:17" ht="28.8" x14ac:dyDescent="0.3">
      <c r="B79">
        <v>75</v>
      </c>
      <c r="C79">
        <v>2022</v>
      </c>
      <c r="D79" t="s">
        <v>16</v>
      </c>
      <c r="E79" t="s">
        <v>33</v>
      </c>
      <c r="F79" t="s">
        <v>30</v>
      </c>
      <c r="G79" t="s">
        <v>19</v>
      </c>
      <c r="H79">
        <v>1297</v>
      </c>
      <c r="I79">
        <v>17.77</v>
      </c>
      <c r="J79" t="s">
        <v>26</v>
      </c>
      <c r="K79" s="1">
        <v>2716451</v>
      </c>
      <c r="L79" s="2">
        <v>2848</v>
      </c>
      <c r="M79" s="1">
        <f t="shared" si="3"/>
        <v>7736452448</v>
      </c>
      <c r="N79" s="1">
        <f t="shared" si="4"/>
        <v>6189161958.4000006</v>
      </c>
      <c r="O79" s="1">
        <f t="shared" si="5"/>
        <v>1547290489.5999994</v>
      </c>
      <c r="P79" s="3" t="s">
        <v>38</v>
      </c>
      <c r="Q79" s="4">
        <v>4.7</v>
      </c>
    </row>
    <row r="80" spans="2:17" ht="28.8" x14ac:dyDescent="0.3">
      <c r="B80">
        <v>76</v>
      </c>
      <c r="C80">
        <v>2023</v>
      </c>
      <c r="D80" t="s">
        <v>45</v>
      </c>
      <c r="E80" t="s">
        <v>49</v>
      </c>
      <c r="F80" t="s">
        <v>24</v>
      </c>
      <c r="G80" t="s">
        <v>25</v>
      </c>
      <c r="H80">
        <v>2530</v>
      </c>
      <c r="I80">
        <v>15.7</v>
      </c>
      <c r="J80" t="s">
        <v>42</v>
      </c>
      <c r="K80" s="1">
        <v>729162</v>
      </c>
      <c r="L80" s="2">
        <v>1644</v>
      </c>
      <c r="M80" s="1">
        <f t="shared" si="3"/>
        <v>1198742328</v>
      </c>
      <c r="N80" s="1">
        <f t="shared" si="4"/>
        <v>958993862.4000001</v>
      </c>
      <c r="O80" s="1">
        <f t="shared" si="5"/>
        <v>239748465.5999999</v>
      </c>
      <c r="P80" s="3" t="s">
        <v>39</v>
      </c>
      <c r="Q80" s="4">
        <v>4.7</v>
      </c>
    </row>
    <row r="81" spans="2:17" x14ac:dyDescent="0.3">
      <c r="B81">
        <v>77</v>
      </c>
      <c r="C81">
        <v>2023</v>
      </c>
      <c r="D81" t="s">
        <v>16</v>
      </c>
      <c r="E81" t="s">
        <v>17</v>
      </c>
      <c r="F81" t="s">
        <v>37</v>
      </c>
      <c r="G81" t="s">
        <v>19</v>
      </c>
      <c r="H81">
        <v>2887</v>
      </c>
      <c r="I81">
        <v>23.28</v>
      </c>
      <c r="J81" t="s">
        <v>26</v>
      </c>
      <c r="K81" s="1">
        <v>1091137</v>
      </c>
      <c r="L81" s="2">
        <v>4630</v>
      </c>
      <c r="M81" s="1">
        <f t="shared" si="3"/>
        <v>5051964310</v>
      </c>
      <c r="N81" s="1">
        <f t="shared" si="4"/>
        <v>4041571448</v>
      </c>
      <c r="O81" s="1">
        <f t="shared" si="5"/>
        <v>1010392862</v>
      </c>
      <c r="P81" s="3" t="s">
        <v>43</v>
      </c>
      <c r="Q81" s="4">
        <v>4.8</v>
      </c>
    </row>
    <row r="82" spans="2:17" ht="28.8" x14ac:dyDescent="0.3">
      <c r="B82">
        <v>78</v>
      </c>
      <c r="C82">
        <v>2023</v>
      </c>
      <c r="D82" t="s">
        <v>16</v>
      </c>
      <c r="E82" t="s">
        <v>70</v>
      </c>
      <c r="F82" t="s">
        <v>37</v>
      </c>
      <c r="G82" t="s">
        <v>19</v>
      </c>
      <c r="H82">
        <v>1313</v>
      </c>
      <c r="I82">
        <v>13.33</v>
      </c>
      <c r="J82" t="s">
        <v>31</v>
      </c>
      <c r="K82" s="1">
        <v>2173074</v>
      </c>
      <c r="L82" s="2">
        <v>291</v>
      </c>
      <c r="M82" s="1">
        <f t="shared" si="3"/>
        <v>632364534</v>
      </c>
      <c r="N82" s="1">
        <f t="shared" si="4"/>
        <v>505891627.20000005</v>
      </c>
      <c r="O82" s="1">
        <f t="shared" si="5"/>
        <v>126472906.79999995</v>
      </c>
      <c r="P82" s="3" t="s">
        <v>44</v>
      </c>
      <c r="Q82" s="4">
        <v>4.9000000000000004</v>
      </c>
    </row>
    <row r="83" spans="2:17" ht="28.8" x14ac:dyDescent="0.3">
      <c r="B83">
        <v>79</v>
      </c>
      <c r="C83">
        <v>2023</v>
      </c>
      <c r="D83" t="s">
        <v>40</v>
      </c>
      <c r="E83" t="s">
        <v>41</v>
      </c>
      <c r="F83" t="s">
        <v>37</v>
      </c>
      <c r="G83" t="s">
        <v>25</v>
      </c>
      <c r="H83">
        <v>2061</v>
      </c>
      <c r="I83">
        <v>20.93</v>
      </c>
      <c r="J83" t="s">
        <v>31</v>
      </c>
      <c r="K83" s="1">
        <v>2147648</v>
      </c>
      <c r="L83" s="2">
        <v>3055</v>
      </c>
      <c r="M83" s="1">
        <f t="shared" si="3"/>
        <v>6561064640</v>
      </c>
      <c r="N83" s="1">
        <f t="shared" si="4"/>
        <v>5248851712</v>
      </c>
      <c r="O83" s="1">
        <f t="shared" si="5"/>
        <v>1312212928</v>
      </c>
      <c r="P83" s="3" t="s">
        <v>47</v>
      </c>
      <c r="Q83" s="4">
        <v>4.5999999999999996</v>
      </c>
    </row>
    <row r="84" spans="2:17" ht="28.8" x14ac:dyDescent="0.3">
      <c r="B84">
        <v>80</v>
      </c>
      <c r="C84">
        <v>2024</v>
      </c>
      <c r="D84" t="s">
        <v>45</v>
      </c>
      <c r="E84" t="s">
        <v>46</v>
      </c>
      <c r="F84" t="s">
        <v>18</v>
      </c>
      <c r="G84" t="s">
        <v>25</v>
      </c>
      <c r="H84">
        <v>2542</v>
      </c>
      <c r="I84">
        <v>12.99</v>
      </c>
      <c r="J84" t="s">
        <v>20</v>
      </c>
      <c r="K84" s="1">
        <v>1530303</v>
      </c>
      <c r="L84" s="2">
        <v>538</v>
      </c>
      <c r="M84" s="1">
        <f t="shared" si="3"/>
        <v>823303014</v>
      </c>
      <c r="N84" s="1">
        <f t="shared" si="4"/>
        <v>658642411.20000005</v>
      </c>
      <c r="O84" s="1">
        <f t="shared" si="5"/>
        <v>164660602.79999995</v>
      </c>
      <c r="P84" s="3" t="s">
        <v>48</v>
      </c>
      <c r="Q84" s="4">
        <v>4.8</v>
      </c>
    </row>
    <row r="85" spans="2:17" ht="28.8" x14ac:dyDescent="0.3">
      <c r="B85">
        <v>81</v>
      </c>
      <c r="C85">
        <v>2024</v>
      </c>
      <c r="D85" t="s">
        <v>45</v>
      </c>
      <c r="E85" t="s">
        <v>73</v>
      </c>
      <c r="F85" t="s">
        <v>24</v>
      </c>
      <c r="G85" t="s">
        <v>19</v>
      </c>
      <c r="H85">
        <v>1414</v>
      </c>
      <c r="I85">
        <v>23.49</v>
      </c>
      <c r="J85" t="s">
        <v>20</v>
      </c>
      <c r="K85" s="1">
        <v>1107080</v>
      </c>
      <c r="L85" s="2">
        <v>3840</v>
      </c>
      <c r="M85" s="1">
        <f t="shared" si="3"/>
        <v>4251187200</v>
      </c>
      <c r="N85" s="1">
        <f t="shared" si="4"/>
        <v>3400949760</v>
      </c>
      <c r="O85" s="1">
        <f t="shared" si="5"/>
        <v>850237440</v>
      </c>
      <c r="P85" s="3" t="s">
        <v>50</v>
      </c>
      <c r="Q85" s="4">
        <v>4.7</v>
      </c>
    </row>
    <row r="86" spans="2:17" ht="28.8" x14ac:dyDescent="0.3">
      <c r="B86">
        <v>82</v>
      </c>
      <c r="C86">
        <v>2024</v>
      </c>
      <c r="D86" t="s">
        <v>22</v>
      </c>
      <c r="E86" t="s">
        <v>36</v>
      </c>
      <c r="F86" t="s">
        <v>24</v>
      </c>
      <c r="G86" t="s">
        <v>25</v>
      </c>
      <c r="H86">
        <v>1330</v>
      </c>
      <c r="I86">
        <v>23.97</v>
      </c>
      <c r="J86" t="s">
        <v>26</v>
      </c>
      <c r="K86" s="1">
        <v>1843920</v>
      </c>
      <c r="L86" s="2">
        <v>2681</v>
      </c>
      <c r="M86" s="1">
        <f t="shared" si="3"/>
        <v>4943549520</v>
      </c>
      <c r="N86" s="1">
        <f t="shared" si="4"/>
        <v>3954839616</v>
      </c>
      <c r="O86" s="1">
        <f t="shared" si="5"/>
        <v>988709904</v>
      </c>
      <c r="P86" s="3" t="s">
        <v>52</v>
      </c>
      <c r="Q86" s="4">
        <v>4.5999999999999996</v>
      </c>
    </row>
    <row r="87" spans="2:17" ht="28.8" x14ac:dyDescent="0.3">
      <c r="B87">
        <v>83</v>
      </c>
      <c r="C87">
        <v>2024</v>
      </c>
      <c r="D87" t="s">
        <v>22</v>
      </c>
      <c r="E87" t="s">
        <v>36</v>
      </c>
      <c r="F87" t="s">
        <v>24</v>
      </c>
      <c r="G87" t="s">
        <v>19</v>
      </c>
      <c r="H87">
        <v>1349</v>
      </c>
      <c r="I87">
        <v>11.69</v>
      </c>
      <c r="J87" t="s">
        <v>42</v>
      </c>
      <c r="K87" s="1">
        <v>2362234</v>
      </c>
      <c r="L87" s="2">
        <v>1960</v>
      </c>
      <c r="M87" s="1">
        <f t="shared" si="3"/>
        <v>4629978640</v>
      </c>
      <c r="N87" s="1">
        <f t="shared" si="4"/>
        <v>3703982912</v>
      </c>
      <c r="O87" s="1">
        <f t="shared" si="5"/>
        <v>925995728</v>
      </c>
      <c r="P87" s="3" t="s">
        <v>54</v>
      </c>
      <c r="Q87" s="4">
        <v>4.9000000000000004</v>
      </c>
    </row>
    <row r="88" spans="2:17" x14ac:dyDescent="0.3">
      <c r="B88">
        <v>84</v>
      </c>
      <c r="C88">
        <v>2024</v>
      </c>
      <c r="D88" t="s">
        <v>28</v>
      </c>
      <c r="E88" t="s">
        <v>29</v>
      </c>
      <c r="F88" t="s">
        <v>37</v>
      </c>
      <c r="G88" t="s">
        <v>19</v>
      </c>
      <c r="H88">
        <v>2859</v>
      </c>
      <c r="I88">
        <v>19.54</v>
      </c>
      <c r="J88" t="s">
        <v>42</v>
      </c>
      <c r="K88" s="1">
        <v>1239345</v>
      </c>
      <c r="L88" s="2">
        <v>2503</v>
      </c>
      <c r="M88" s="1">
        <f t="shared" si="3"/>
        <v>3102080535</v>
      </c>
      <c r="N88" s="1">
        <f t="shared" si="4"/>
        <v>2481664428</v>
      </c>
      <c r="O88" s="1">
        <f t="shared" si="5"/>
        <v>620416107</v>
      </c>
      <c r="P88" s="3" t="s">
        <v>56</v>
      </c>
      <c r="Q88" s="4">
        <v>4.5</v>
      </c>
    </row>
    <row r="89" spans="2:17" x14ac:dyDescent="0.3">
      <c r="B89">
        <v>85</v>
      </c>
      <c r="C89">
        <v>2024</v>
      </c>
      <c r="D89" t="s">
        <v>45</v>
      </c>
      <c r="E89" t="s">
        <v>49</v>
      </c>
      <c r="F89" t="s">
        <v>30</v>
      </c>
      <c r="G89" t="s">
        <v>19</v>
      </c>
      <c r="H89">
        <v>2915</v>
      </c>
      <c r="I89">
        <v>17.239999999999998</v>
      </c>
      <c r="J89" t="s">
        <v>42</v>
      </c>
      <c r="K89" s="1">
        <v>2831331</v>
      </c>
      <c r="L89" s="2">
        <v>3278</v>
      </c>
      <c r="M89" s="1">
        <f t="shared" si="3"/>
        <v>9281103018</v>
      </c>
      <c r="N89" s="1">
        <f t="shared" si="4"/>
        <v>7424882414.4000006</v>
      </c>
      <c r="O89" s="1">
        <f t="shared" si="5"/>
        <v>1856220603.5999994</v>
      </c>
      <c r="P89" s="3" t="s">
        <v>57</v>
      </c>
      <c r="Q89" s="4">
        <v>4.4000000000000004</v>
      </c>
    </row>
    <row r="90" spans="2:17" x14ac:dyDescent="0.3">
      <c r="B90">
        <v>86</v>
      </c>
      <c r="C90">
        <v>2024</v>
      </c>
      <c r="D90" t="s">
        <v>22</v>
      </c>
      <c r="E90" t="s">
        <v>55</v>
      </c>
      <c r="F90" t="s">
        <v>37</v>
      </c>
      <c r="G90" t="s">
        <v>19</v>
      </c>
      <c r="H90">
        <v>1776</v>
      </c>
      <c r="I90">
        <v>11.12</v>
      </c>
      <c r="J90" t="s">
        <v>26</v>
      </c>
      <c r="K90" s="1">
        <v>2766496</v>
      </c>
      <c r="L90" s="2">
        <v>4947</v>
      </c>
      <c r="M90" s="1">
        <f t="shared" si="3"/>
        <v>13685855712</v>
      </c>
      <c r="N90" s="1">
        <f t="shared" si="4"/>
        <v>10948684569.6</v>
      </c>
      <c r="O90" s="1">
        <f t="shared" si="5"/>
        <v>2737171142.3999996</v>
      </c>
      <c r="P90" s="3" t="s">
        <v>58</v>
      </c>
      <c r="Q90" s="4">
        <v>4.2</v>
      </c>
    </row>
    <row r="91" spans="2:17" ht="28.8" x14ac:dyDescent="0.3">
      <c r="B91">
        <v>87</v>
      </c>
      <c r="C91">
        <v>2024</v>
      </c>
      <c r="D91" t="s">
        <v>22</v>
      </c>
      <c r="E91" t="s">
        <v>51</v>
      </c>
      <c r="F91" t="s">
        <v>18</v>
      </c>
      <c r="G91" t="s">
        <v>19</v>
      </c>
      <c r="H91">
        <v>2015</v>
      </c>
      <c r="I91">
        <v>16.190000000000001</v>
      </c>
      <c r="J91" t="s">
        <v>20</v>
      </c>
      <c r="K91" s="1">
        <v>1597170</v>
      </c>
      <c r="L91" s="2">
        <v>118</v>
      </c>
      <c r="M91" s="1">
        <f t="shared" si="3"/>
        <v>188466060</v>
      </c>
      <c r="N91" s="1">
        <f t="shared" si="4"/>
        <v>150772848</v>
      </c>
      <c r="O91" s="1">
        <f t="shared" si="5"/>
        <v>37693212</v>
      </c>
      <c r="P91" s="3" t="s">
        <v>59</v>
      </c>
      <c r="Q91" s="4">
        <v>4.0999999999999996</v>
      </c>
    </row>
    <row r="92" spans="2:17" ht="28.8" x14ac:dyDescent="0.3">
      <c r="B92">
        <v>88</v>
      </c>
      <c r="C92">
        <v>2024</v>
      </c>
      <c r="D92" t="s">
        <v>28</v>
      </c>
      <c r="E92" t="s">
        <v>74</v>
      </c>
      <c r="F92" t="s">
        <v>24</v>
      </c>
      <c r="G92" t="s">
        <v>25</v>
      </c>
      <c r="H92">
        <v>1135</v>
      </c>
      <c r="I92">
        <v>23.7</v>
      </c>
      <c r="J92" t="s">
        <v>42</v>
      </c>
      <c r="K92" s="1">
        <v>1152675</v>
      </c>
      <c r="L92" s="2">
        <v>321</v>
      </c>
      <c r="M92" s="1">
        <f t="shared" si="3"/>
        <v>370008675</v>
      </c>
      <c r="N92" s="1">
        <f t="shared" si="4"/>
        <v>296006940</v>
      </c>
      <c r="O92" s="1">
        <f t="shared" si="5"/>
        <v>74001735</v>
      </c>
      <c r="P92" s="3" t="s">
        <v>61</v>
      </c>
      <c r="Q92" s="4">
        <v>4.7</v>
      </c>
    </row>
    <row r="93" spans="2:17" ht="28.8" x14ac:dyDescent="0.3">
      <c r="B93">
        <v>89</v>
      </c>
      <c r="C93">
        <v>2025</v>
      </c>
      <c r="D93" t="s">
        <v>22</v>
      </c>
      <c r="E93" t="s">
        <v>55</v>
      </c>
      <c r="F93" t="s">
        <v>18</v>
      </c>
      <c r="G93" t="s">
        <v>25</v>
      </c>
      <c r="H93">
        <v>2434</v>
      </c>
      <c r="I93">
        <v>11.08</v>
      </c>
      <c r="J93" t="s">
        <v>31</v>
      </c>
      <c r="K93" s="1">
        <v>1956583</v>
      </c>
      <c r="L93" s="2">
        <v>4506</v>
      </c>
      <c r="M93" s="1">
        <f t="shared" si="3"/>
        <v>8816362998</v>
      </c>
      <c r="N93" s="1">
        <f t="shared" si="4"/>
        <v>7053090398.4000006</v>
      </c>
      <c r="O93" s="1">
        <f t="shared" si="5"/>
        <v>1763272599.5999994</v>
      </c>
      <c r="P93" s="3" t="s">
        <v>62</v>
      </c>
      <c r="Q93" s="4">
        <v>4.7</v>
      </c>
    </row>
    <row r="94" spans="2:17" ht="28.8" x14ac:dyDescent="0.3">
      <c r="B94">
        <v>90</v>
      </c>
      <c r="C94">
        <v>2025</v>
      </c>
      <c r="D94" t="s">
        <v>40</v>
      </c>
      <c r="E94" t="s">
        <v>41</v>
      </c>
      <c r="F94" t="s">
        <v>30</v>
      </c>
      <c r="G94" t="s">
        <v>19</v>
      </c>
      <c r="H94">
        <v>1916</v>
      </c>
      <c r="I94">
        <v>17.329999999999998</v>
      </c>
      <c r="J94" t="s">
        <v>34</v>
      </c>
      <c r="K94" s="1">
        <v>2856966</v>
      </c>
      <c r="L94" s="2">
        <v>3268</v>
      </c>
      <c r="M94" s="1">
        <f t="shared" si="3"/>
        <v>9336564888</v>
      </c>
      <c r="N94" s="1">
        <f t="shared" si="4"/>
        <v>7469251910.4000006</v>
      </c>
      <c r="O94" s="1">
        <f t="shared" si="5"/>
        <v>1867312977.5999994</v>
      </c>
      <c r="P94" s="3" t="s">
        <v>63</v>
      </c>
      <c r="Q94" s="4">
        <v>4.7</v>
      </c>
    </row>
    <row r="95" spans="2:17" ht="28.8" x14ac:dyDescent="0.3">
      <c r="B95">
        <v>91</v>
      </c>
      <c r="C95">
        <v>2025</v>
      </c>
      <c r="D95" t="s">
        <v>16</v>
      </c>
      <c r="E95" t="s">
        <v>64</v>
      </c>
      <c r="F95" t="s">
        <v>37</v>
      </c>
      <c r="G95" t="s">
        <v>19</v>
      </c>
      <c r="H95">
        <v>2203</v>
      </c>
      <c r="I95">
        <v>15.49</v>
      </c>
      <c r="J95" t="s">
        <v>42</v>
      </c>
      <c r="K95" s="1">
        <v>2168439</v>
      </c>
      <c r="L95" s="2">
        <v>1496</v>
      </c>
      <c r="M95" s="1">
        <f t="shared" si="3"/>
        <v>3243984744</v>
      </c>
      <c r="N95" s="1">
        <f t="shared" si="4"/>
        <v>2595187795.2000003</v>
      </c>
      <c r="O95" s="1">
        <f t="shared" si="5"/>
        <v>648796948.79999971</v>
      </c>
      <c r="P95" s="3" t="s">
        <v>65</v>
      </c>
      <c r="Q95" s="4">
        <v>4.8</v>
      </c>
    </row>
    <row r="96" spans="2:17" ht="28.8" x14ac:dyDescent="0.3">
      <c r="B96">
        <v>92</v>
      </c>
      <c r="C96">
        <v>2025</v>
      </c>
      <c r="D96" t="s">
        <v>40</v>
      </c>
      <c r="E96" t="s">
        <v>71</v>
      </c>
      <c r="F96" t="s">
        <v>30</v>
      </c>
      <c r="G96" t="s">
        <v>19</v>
      </c>
      <c r="H96">
        <v>2768</v>
      </c>
      <c r="I96">
        <v>21.55</v>
      </c>
      <c r="J96" t="s">
        <v>20</v>
      </c>
      <c r="K96" s="1">
        <v>2623415</v>
      </c>
      <c r="L96" s="2">
        <v>690</v>
      </c>
      <c r="M96" s="1">
        <f t="shared" si="3"/>
        <v>1810156350</v>
      </c>
      <c r="N96" s="1">
        <f t="shared" si="4"/>
        <v>1448125080</v>
      </c>
      <c r="O96" s="1">
        <f t="shared" si="5"/>
        <v>362031270</v>
      </c>
      <c r="P96" s="3" t="s">
        <v>66</v>
      </c>
      <c r="Q96" s="4">
        <v>4.9000000000000004</v>
      </c>
    </row>
    <row r="97" spans="2:17" ht="28.8" x14ac:dyDescent="0.3">
      <c r="B97">
        <v>93</v>
      </c>
      <c r="C97">
        <v>2025</v>
      </c>
      <c r="D97" t="s">
        <v>45</v>
      </c>
      <c r="E97" t="s">
        <v>46</v>
      </c>
      <c r="F97" t="s">
        <v>37</v>
      </c>
      <c r="G97" t="s">
        <v>25</v>
      </c>
      <c r="H97">
        <v>1768</v>
      </c>
      <c r="I97">
        <v>13.67</v>
      </c>
      <c r="J97" t="s">
        <v>26</v>
      </c>
      <c r="K97" s="1">
        <v>2755182</v>
      </c>
      <c r="L97" s="2">
        <v>2046</v>
      </c>
      <c r="M97" s="1">
        <f t="shared" si="3"/>
        <v>5637102372</v>
      </c>
      <c r="N97" s="1">
        <f t="shared" si="4"/>
        <v>4509681897.6000004</v>
      </c>
      <c r="O97" s="1">
        <f t="shared" si="5"/>
        <v>1127420474.3999996</v>
      </c>
      <c r="P97" s="3" t="s">
        <v>67</v>
      </c>
      <c r="Q97" s="4">
        <v>4.5999999999999996</v>
      </c>
    </row>
    <row r="98" spans="2:17" x14ac:dyDescent="0.3">
      <c r="B98">
        <v>94</v>
      </c>
      <c r="C98">
        <v>2025</v>
      </c>
      <c r="D98" t="s">
        <v>16</v>
      </c>
      <c r="E98" t="s">
        <v>33</v>
      </c>
      <c r="F98" t="s">
        <v>18</v>
      </c>
      <c r="G98" t="s">
        <v>25</v>
      </c>
      <c r="H98">
        <v>1692</v>
      </c>
      <c r="I98">
        <v>17.68</v>
      </c>
      <c r="J98" t="s">
        <v>42</v>
      </c>
      <c r="K98" s="1">
        <v>2773223</v>
      </c>
      <c r="L98" s="2">
        <v>4993</v>
      </c>
      <c r="M98" s="1">
        <f t="shared" si="3"/>
        <v>13846702439</v>
      </c>
      <c r="N98" s="1">
        <f t="shared" si="4"/>
        <v>11077361951.200001</v>
      </c>
      <c r="O98" s="1">
        <f t="shared" si="5"/>
        <v>2769340487.7999992</v>
      </c>
      <c r="P98" s="3" t="s">
        <v>69</v>
      </c>
      <c r="Q98" s="4">
        <v>4.8</v>
      </c>
    </row>
    <row r="99" spans="2:17" ht="28.8" x14ac:dyDescent="0.3">
      <c r="B99">
        <v>95</v>
      </c>
      <c r="C99">
        <v>2025</v>
      </c>
      <c r="D99" t="s">
        <v>45</v>
      </c>
      <c r="E99" t="s">
        <v>73</v>
      </c>
      <c r="F99" t="s">
        <v>18</v>
      </c>
      <c r="G99" t="s">
        <v>19</v>
      </c>
      <c r="H99">
        <v>2770</v>
      </c>
      <c r="I99">
        <v>18.52</v>
      </c>
      <c r="J99" t="s">
        <v>20</v>
      </c>
      <c r="K99" s="1">
        <v>1928932</v>
      </c>
      <c r="L99" s="2">
        <v>4892</v>
      </c>
      <c r="M99" s="1">
        <f t="shared" si="3"/>
        <v>9436335344</v>
      </c>
      <c r="N99" s="1">
        <f t="shared" si="4"/>
        <v>7549068275.2000008</v>
      </c>
      <c r="O99" s="1">
        <f t="shared" si="5"/>
        <v>1887267068.7999992</v>
      </c>
      <c r="P99" s="3" t="s">
        <v>52</v>
      </c>
      <c r="Q99" s="4">
        <v>4.7</v>
      </c>
    </row>
    <row r="100" spans="2:17" ht="28.8" x14ac:dyDescent="0.3">
      <c r="B100">
        <v>96</v>
      </c>
      <c r="C100">
        <v>2025</v>
      </c>
      <c r="D100" t="s">
        <v>45</v>
      </c>
      <c r="E100" t="s">
        <v>46</v>
      </c>
      <c r="F100" t="s">
        <v>37</v>
      </c>
      <c r="G100" t="s">
        <v>25</v>
      </c>
      <c r="H100">
        <v>1212</v>
      </c>
      <c r="I100">
        <v>16.36</v>
      </c>
      <c r="J100" t="s">
        <v>42</v>
      </c>
      <c r="K100" s="1">
        <v>2053459</v>
      </c>
      <c r="L100" s="2">
        <v>4420</v>
      </c>
      <c r="M100" s="1">
        <f t="shared" si="3"/>
        <v>9076288780</v>
      </c>
      <c r="N100" s="1">
        <f t="shared" si="4"/>
        <v>7261031024</v>
      </c>
      <c r="O100" s="1">
        <f t="shared" si="5"/>
        <v>1815257756</v>
      </c>
      <c r="P100" s="3" t="s">
        <v>54</v>
      </c>
      <c r="Q100" s="4">
        <v>4.5999999999999996</v>
      </c>
    </row>
    <row r="101" spans="2:17" x14ac:dyDescent="0.3">
      <c r="B101">
        <v>97</v>
      </c>
      <c r="C101">
        <v>2025</v>
      </c>
      <c r="D101" t="s">
        <v>40</v>
      </c>
      <c r="E101" t="s">
        <v>71</v>
      </c>
      <c r="F101" t="s">
        <v>30</v>
      </c>
      <c r="G101" t="s">
        <v>25</v>
      </c>
      <c r="H101">
        <v>1599</v>
      </c>
      <c r="I101">
        <v>12.1</v>
      </c>
      <c r="J101" t="s">
        <v>26</v>
      </c>
      <c r="K101" s="1">
        <v>994310</v>
      </c>
      <c r="L101" s="2">
        <v>2130</v>
      </c>
      <c r="M101" s="1">
        <f t="shared" si="3"/>
        <v>2117880300</v>
      </c>
      <c r="N101" s="1">
        <f t="shared" si="4"/>
        <v>1694304240</v>
      </c>
      <c r="O101" s="1">
        <f t="shared" si="5"/>
        <v>423576060</v>
      </c>
      <c r="P101" s="3" t="s">
        <v>56</v>
      </c>
      <c r="Q101" s="4">
        <v>4.9000000000000004</v>
      </c>
    </row>
    <row r="102" spans="2:17" x14ac:dyDescent="0.3">
      <c r="B102">
        <v>98</v>
      </c>
      <c r="C102">
        <v>2025</v>
      </c>
      <c r="D102" t="s">
        <v>45</v>
      </c>
      <c r="E102" t="s">
        <v>49</v>
      </c>
      <c r="F102" t="s">
        <v>37</v>
      </c>
      <c r="G102" t="s">
        <v>25</v>
      </c>
      <c r="H102">
        <v>1811</v>
      </c>
      <c r="I102">
        <v>13.91</v>
      </c>
      <c r="J102" t="s">
        <v>26</v>
      </c>
      <c r="K102" s="1">
        <v>968824</v>
      </c>
      <c r="L102" s="2">
        <v>2050</v>
      </c>
      <c r="M102" s="1">
        <f t="shared" si="3"/>
        <v>1986089200</v>
      </c>
      <c r="N102" s="1">
        <f t="shared" si="4"/>
        <v>1588871360</v>
      </c>
      <c r="O102" s="1">
        <f t="shared" si="5"/>
        <v>397217840</v>
      </c>
      <c r="P102" s="3" t="s">
        <v>57</v>
      </c>
      <c r="Q102" s="4">
        <v>4.5</v>
      </c>
    </row>
    <row r="103" spans="2:17" x14ac:dyDescent="0.3">
      <c r="B103">
        <v>99</v>
      </c>
      <c r="C103">
        <v>2025</v>
      </c>
      <c r="D103" t="s">
        <v>28</v>
      </c>
      <c r="E103" t="s">
        <v>74</v>
      </c>
      <c r="F103" t="s">
        <v>37</v>
      </c>
      <c r="G103" t="s">
        <v>25</v>
      </c>
      <c r="H103">
        <v>2982</v>
      </c>
      <c r="I103">
        <v>23.41</v>
      </c>
      <c r="J103" t="s">
        <v>34</v>
      </c>
      <c r="K103" s="1">
        <v>2178439</v>
      </c>
      <c r="L103" s="2">
        <v>1435</v>
      </c>
      <c r="M103" s="1">
        <f t="shared" si="3"/>
        <v>3126059965</v>
      </c>
      <c r="N103" s="1">
        <f t="shared" si="4"/>
        <v>2500847972</v>
      </c>
      <c r="O103" s="1">
        <f t="shared" si="5"/>
        <v>625211993</v>
      </c>
      <c r="P103" s="3" t="s">
        <v>58</v>
      </c>
      <c r="Q103" s="4">
        <v>4.5999999999999996</v>
      </c>
    </row>
    <row r="104" spans="2:17" ht="28.8" x14ac:dyDescent="0.3">
      <c r="B104">
        <v>100</v>
      </c>
      <c r="C104">
        <v>2025</v>
      </c>
      <c r="D104" t="s">
        <v>16</v>
      </c>
      <c r="E104" t="s">
        <v>17</v>
      </c>
      <c r="F104" t="s">
        <v>24</v>
      </c>
      <c r="G104" t="s">
        <v>25</v>
      </c>
      <c r="H104">
        <v>844</v>
      </c>
      <c r="I104">
        <v>21.82</v>
      </c>
      <c r="J104" t="s">
        <v>42</v>
      </c>
      <c r="K104" s="1">
        <v>2919152</v>
      </c>
      <c r="L104" s="2">
        <v>3172</v>
      </c>
      <c r="M104" s="1">
        <f t="shared" si="3"/>
        <v>9259550144</v>
      </c>
      <c r="N104" s="1">
        <f t="shared" si="4"/>
        <v>7407640115.2000008</v>
      </c>
      <c r="O104" s="1">
        <f t="shared" si="5"/>
        <v>1851910028.7999992</v>
      </c>
      <c r="P104" s="3" t="s">
        <v>59</v>
      </c>
      <c r="Q104" s="4">
        <v>4.8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Chandrahas nunna</dc:creator>
  <cp:lastModifiedBy>Chandrahas nunna</cp:lastModifiedBy>
  <dcterms:created xsi:type="dcterms:W3CDTF">2026-04-13T17:52:23Z</dcterms:created>
  <dcterms:modified xsi:type="dcterms:W3CDTF">2026-04-13T17:54:28Z</dcterms:modified>
</cp:coreProperties>
</file>